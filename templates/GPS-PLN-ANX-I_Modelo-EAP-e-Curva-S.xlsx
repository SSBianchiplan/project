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arâmetros" sheetId="2" state="visible" r:id="rId4"/>
    <sheet name="EAP" sheetId="3" state="visible" r:id="rId5"/>
    <sheet name="Previsto BL0" sheetId="4" state="visible" r:id="rId6"/>
    <sheet name="Previsto BL1" sheetId="5" state="visible" r:id="rId7"/>
    <sheet name="Realizado" sheetId="6" state="visible" r:id="rId8"/>
    <sheet name="Curva S" sheetId="7" state="visible" r:id="rId9"/>
    <sheet name="Painel de Desv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<sst xmlns="http://schemas.openxmlformats.org/spreadsheetml/2006/main" count="329" uniqueCount="167">
  <si>
    <t xml:space="preserve">GPS-PLN-ANX-I — MODELO DE EAP E CURVA S</t>
  </si>
  <si>
    <t xml:space="preserve">GPlanSiS|Planejamento · anexo do PRO-GPS-PLN-001 · rev. 0</t>
  </si>
  <si>
    <t xml:space="preserve">COMO USAR</t>
  </si>
  <si>
    <t xml:space="preserve">1. Preencha a aba Parâmetros: identificação do contrato, data de início, data de corte e base de pontos.</t>
  </si>
  <si>
    <t xml:space="preserve">2. Monte a EAP na aba EAP. Só as linhas marcadas como folha (coluna FOLHA = SIM) recebem pontos; os níveis superiores somam sozinhos.</t>
  </si>
  <si>
    <t xml:space="preserve">3. A soma dos pontos das folhas deve fechar exatamente na base definida em Parâmetros (padrão 1.000.000). A célula de crítica na aba EAP acusa divergência.</t>
  </si>
  <si>
    <t xml:space="preserve">4. Lance o previsto semanal (incremental, em %) nas abas Previsto BL0 e, quando houver replanejamento aprovado, Previsto BL1.</t>
  </si>
  <si>
    <t xml:space="preserve">5. Lance o realizado semanal (incremental, em %) na aba Realizado. As semanas posteriores à data de corte devem ficar em branco.</t>
  </si>
  <si>
    <t xml:space="preserve">6. A curva S, o painel de desvios e os gatilhos de plano de ação são calculados automaticamente.</t>
  </si>
  <si>
    <t xml:space="preserve">LEGENDA DE CORES</t>
  </si>
  <si>
    <t xml:space="preserve">Azul: célula de entrada — preencher.</t>
  </si>
  <si>
    <t xml:space="preserve">Preto: célula calculada — não editar.</t>
  </si>
  <si>
    <t xml:space="preserve">Amarelo: premissa ou parâmetro de controle.</t>
  </si>
  <si>
    <t xml:space="preserve">REGRAS HERDADAS DO PROCEDIMENTO</t>
  </si>
  <si>
    <t xml:space="preserve">Ponderação total do contrato = 1.000.000 de pontos (item 9.4 do PRO-GPS-PLN-001).</t>
  </si>
  <si>
    <t xml:space="preserve">Milestones têm peso zero.</t>
  </si>
  <si>
    <t xml:space="preserve">Data de corte sempre no sábado, 23h59 (item 9.3).</t>
  </si>
  <si>
    <t xml:space="preserve">Desvio relativo negativo maior que 4% no nível 2 exige plano de recuperação; desvio absoluto maior que 5% exige plano de ação (item 11.3).</t>
  </si>
  <si>
    <t xml:space="preserve">A curva S deve exibir sempre a linha de base original (BL0) junto da vigente (BL1).</t>
  </si>
  <si>
    <t xml:space="preserve">PARÂMETROS DO CONTRATO</t>
  </si>
  <si>
    <t xml:space="preserve">Células azuis: preencher</t>
  </si>
  <si>
    <t xml:space="preserve">Contratante</t>
  </si>
  <si>
    <t xml:space="preserve">XXXXXXXX</t>
  </si>
  <si>
    <t xml:space="preserve">Contratada</t>
  </si>
  <si>
    <t xml:space="preserve">Contrato nº</t>
  </si>
  <si>
    <t xml:space="preserve">Projeto / empreendimento</t>
  </si>
  <si>
    <t xml:space="preserve">Área</t>
  </si>
  <si>
    <t xml:space="preserve">ÁREA 100</t>
  </si>
  <si>
    <t xml:space="preserve">Modalidade (EPC / EPCM / EPS / Serviço)</t>
  </si>
  <si>
    <t xml:space="preserve">EPC</t>
  </si>
  <si>
    <t xml:space="preserve">Data de início do projeto</t>
  </si>
  <si>
    <t xml:space="preserve">Data de corte (sábado)</t>
  </si>
  <si>
    <t xml:space="preserve">Base de ponderação (pontos)</t>
  </si>
  <si>
    <t xml:space="preserve">Gatilho de plano de recuperação (desvio relativo)</t>
  </si>
  <si>
    <t xml:space="preserve">Gatilho de plano de ação (desvio absoluto)</t>
  </si>
  <si>
    <t xml:space="preserve">EAP — ESTRUTURA ANALÍTICA DO PROJETO E PONDERAÇÃO</t>
  </si>
  <si>
    <t xml:space="preserve">Pontos apenas nas folhas · pesos e avanços calculados</t>
  </si>
  <si>
    <t xml:space="preserve">EDT</t>
  </si>
  <si>
    <t xml:space="preserve">DESCRIÇÃO</t>
  </si>
  <si>
    <t xml:space="preserve">NÍVEL</t>
  </si>
  <si>
    <t xml:space="preserve">FOLHA</t>
  </si>
  <si>
    <t xml:space="preserve">PONTOS</t>
  </si>
  <si>
    <t xml:space="preserve">PESO %</t>
  </si>
  <si>
    <t xml:space="preserve">% PREVISTO AC</t>
  </si>
  <si>
    <t xml:space="preserve">% REAL AC</t>
  </si>
  <si>
    <t xml:space="preserve">DESVIO REL.</t>
  </si>
  <si>
    <t xml:space="preserve">DESVIO ABS.</t>
  </si>
  <si>
    <t xml:space="preserve">STATUS</t>
  </si>
  <si>
    <t xml:space="preserve">PROJETO</t>
  </si>
  <si>
    <t xml:space="preserve">NÃO</t>
  </si>
  <si>
    <t xml:space="preserve">1</t>
  </si>
  <si>
    <t xml:space="preserve">    ÁREA 100 — EXEMPLO</t>
  </si>
  <si>
    <t xml:space="preserve">1.1</t>
  </si>
  <si>
    <t xml:space="preserve">        MILESTONES</t>
  </si>
  <si>
    <t xml:space="preserve">1.1.1</t>
  </si>
  <si>
    <t xml:space="preserve">            Marcos contratuais (peso zero)</t>
  </si>
  <si>
    <t xml:space="preserve">SIM</t>
  </si>
  <si>
    <t xml:space="preserve">1.2</t>
  </si>
  <si>
    <t xml:space="preserve">        ENGENHARIA</t>
  </si>
  <si>
    <t xml:space="preserve">1.2.1</t>
  </si>
  <si>
    <t xml:space="preserve">            Engenharia básica</t>
  </si>
  <si>
    <t xml:space="preserve">1.2.2</t>
  </si>
  <si>
    <t xml:space="preserve">            Engenharia de detalhamento</t>
  </si>
  <si>
    <t xml:space="preserve">1.3</t>
  </si>
  <si>
    <t xml:space="preserve">        SUPRIMENTOS &amp; MANUFATURA</t>
  </si>
  <si>
    <t xml:space="preserve">1.3.1</t>
  </si>
  <si>
    <t xml:space="preserve">            Aquisição</t>
  </si>
  <si>
    <t xml:space="preserve">1.3.2</t>
  </si>
  <si>
    <t xml:space="preserve">            Fabricação</t>
  </si>
  <si>
    <t xml:space="preserve">1.3.3</t>
  </si>
  <si>
    <t xml:space="preserve">            Transporte e entrega</t>
  </si>
  <si>
    <t xml:space="preserve">1.4</t>
  </si>
  <si>
    <t xml:space="preserve">        CONSTRUÇÃO CIVIL</t>
  </si>
  <si>
    <t xml:space="preserve">1.4.1</t>
  </si>
  <si>
    <t xml:space="preserve">            Mobilização e terraplanagem</t>
  </si>
  <si>
    <t xml:space="preserve">1.4.2</t>
  </si>
  <si>
    <t xml:space="preserve">            Fundações e estruturas</t>
  </si>
  <si>
    <t xml:space="preserve">1.4.3</t>
  </si>
  <si>
    <t xml:space="preserve">            Underground e pavimentação</t>
  </si>
  <si>
    <t xml:space="preserve">1.5</t>
  </si>
  <si>
    <t xml:space="preserve">        MONTAGEM ELETROMECÂNICA</t>
  </si>
  <si>
    <t xml:space="preserve">1.5.1</t>
  </si>
  <si>
    <t xml:space="preserve">            Equipamentos e estruturas metálicas</t>
  </si>
  <si>
    <t xml:space="preserve">1.5.2</t>
  </si>
  <si>
    <t xml:space="preserve">            Tubulação e suportes</t>
  </si>
  <si>
    <t xml:space="preserve">1.5.3</t>
  </si>
  <si>
    <t xml:space="preserve">            Elétrica, instrumentação e automação</t>
  </si>
  <si>
    <t xml:space="preserve">1.6</t>
  </si>
  <si>
    <t xml:space="preserve">        COMISSIONAMENTO</t>
  </si>
  <si>
    <t xml:space="preserve">1.6.1</t>
  </si>
  <si>
    <t xml:space="preserve">            Completação mecânica e testes a frio</t>
  </si>
  <si>
    <t xml:space="preserve">1.6.2</t>
  </si>
  <si>
    <t xml:space="preserve">            Testes a quente e ECA</t>
  </si>
  <si>
    <t xml:space="preserve">CRÍTICA — soma dos pontos das folhas versus base contratada:</t>
  </si>
  <si>
    <t xml:space="preserve">Milestones têm peso zero; nenhuma linha de nível 7 pode ficar sem pontos.</t>
  </si>
  <si>
    <t xml:space="preserve">PREVISTO BL0</t>
  </si>
  <si>
    <t xml:space="preserve">Avanço previsto incremental por semana — linha de base original</t>
  </si>
  <si>
    <t xml:space="preserve">Fim da semana</t>
  </si>
  <si>
    <t xml:space="preserve">TOTAL %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</si>
  <si>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</si>
  <si>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</si>
  <si>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</si>
  <si>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</si>
  <si>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</si>
  <si>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</si>
  <si>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Sem 7</t>
  </si>
  <si>
    <t xml:space="preserve">Sem 8</t>
  </si>
  <si>
    <t xml:space="preserve">Sem 9</t>
  </si>
  <si>
    <t xml:space="preserve">Sem 10</t>
  </si>
  <si>
    <t xml:space="preserve">Sem 11</t>
  </si>
  <si>
    <t xml:space="preserve">Sem 12</t>
  </si>
  <si>
    <t xml:space="preserve">Sem 13</t>
  </si>
  <si>
    <t xml:space="preserve">Sem 14</t>
  </si>
  <si>
    <t xml:space="preserve">Sem 15</t>
  </si>
  <si>
    <t xml:space="preserve">Sem 16</t>
  </si>
  <si>
    <t xml:space="preserve">Sem 17</t>
  </si>
  <si>
    <t xml:space="preserve">Sem 18</t>
  </si>
  <si>
    <t xml:space="preserve">Sem 19</t>
  </si>
  <si>
    <t xml:space="preserve">Sem 20</t>
  </si>
  <si>
    <t xml:space="preserve">Sem 21</t>
  </si>
  <si>
    <t xml:space="preserve">Sem 22</t>
  </si>
  <si>
    <t xml:space="preserve">Sem 23</t>
  </si>
  <si>
    <t xml:space="preserve">Sem 24</t>
  </si>
  <si>
    <t xml:space="preserve">Sem 25</t>
  </si>
  <si>
    <t xml:space="preserve">Sem 26</t>
  </si>
  <si>
    <t xml:space="preserve">Marcos contratuais (peso zero)</t>
  </si>
  <si>
    <t xml:space="preserve">Engenharia básica</t>
  </si>
  <si>
    <t xml:space="preserve">Engenharia de detalhamento</t>
  </si>
  <si>
    <t xml:space="preserve">Aquisição</t>
  </si>
  <si>
    <t xml:space="preserve">Fabricação</t>
  </si>
  <si>
    <t xml:space="preserve">Transporte e entrega</t>
  </si>
  <si>
    <t xml:space="preserve">Mobilização e terraplanagem</t>
  </si>
  <si>
    <t xml:space="preserve">Fundações e estruturas</t>
  </si>
  <si>
    <t xml:space="preserve">Underground e pavimentação</t>
  </si>
  <si>
    <t xml:space="preserve">Equipamentos e estruturas metálicas</t>
  </si>
  <si>
    <t xml:space="preserve">Tubulação e suportes</t>
  </si>
  <si>
    <t xml:space="preserve">Elétrica, instrumentação e automação</t>
  </si>
  <si>
    <t xml:space="preserve">Completação mecânica e testes a frio</t>
  </si>
  <si>
    <t xml:space="preserve">Testes a quente e ECA</t>
  </si>
  <si>
    <t xml:space="preserve">PREVISTO BL1</t>
  </si>
  <si>
    <t xml:space="preserve">Avanço previsto incremental — linha de base vigente (replanejamento aprovado)</t>
  </si>
  <si>
    <t xml:space="preserve">REALIZADO</t>
  </si>
  <si>
    <t xml:space="preserve">Avanço realizado incremental por semana — deixar em branco após a data de corte</t>
  </si>
  <si>
    <t xml:space="preserve">CURVA S — AVANÇO FÍSICO PREVISTO E REALIZADO</t>
  </si>
  <si>
    <t xml:space="preserve">Calculada a partir da ponderação da EAP</t>
  </si>
  <si>
    <t xml:space="preserve">SEMANA</t>
  </si>
  <si>
    <t xml:space="preserve">FIM DA SEMANA</t>
  </si>
  <si>
    <t xml:space="preserve">PREV. BL0 %</t>
  </si>
  <si>
    <t xml:space="preserve">PREV. AC BL0</t>
  </si>
  <si>
    <t xml:space="preserve">PREV. BL1 %</t>
  </si>
  <si>
    <t xml:space="preserve">PREV. AC BL1</t>
  </si>
  <si>
    <t xml:space="preserve">REAL %</t>
  </si>
  <si>
    <t xml:space="preserve">REAL AC</t>
  </si>
  <si>
    <t xml:space="preserve">DESVIO AC</t>
  </si>
  <si>
    <t xml:space="preserve">PAINEL DE DESVIOS — NÍVEL 2 (FASES)</t>
  </si>
  <si>
    <t xml:space="preserve">Gatilhos conforme item 11.3 do PRO-GPS-PLN-001</t>
  </si>
  <si>
    <t xml:space="preserve">FASE</t>
  </si>
  <si>
    <t xml:space="preserve">% PREVISTO</t>
  </si>
  <si>
    <t xml:space="preserve">% REAL</t>
  </si>
  <si>
    <t xml:space="preserve">AÇÃO EXIGIDA</t>
  </si>
  <si>
    <t xml:space="preserve">MILESTONES</t>
  </si>
  <si>
    <t xml:space="preserve">ENGENHARIA</t>
  </si>
  <si>
    <t xml:space="preserve">SUPRIMENTOS &amp; MANUFATURA</t>
  </si>
  <si>
    <t xml:space="preserve">CONSTRUÇÃO CIVIL</t>
  </si>
  <si>
    <t xml:space="preserve">MONTAGEM ELETROMECÂNICA</t>
  </si>
  <si>
    <t xml:space="preserve">COMISSIONAMENTO</t>
  </si>
  <si>
    <t xml:space="preserve">Desvio relativo acima de 4%: plano de recuperação. Desvio absoluto acima de 5%: plano de ação formal.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</si>
</sst>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0.0%"/>
    <numFmt numFmtId="168" formatCode="dd/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2D3336"/>
      <name val="Arial"/>
      <family val="0"/>
      <charset val="1"/>
    </font>
    <font>
      <b val="true"/>
      <sz val="10"/>
      <color rgb="FF2D333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2D3336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7D8286"/>
      <name val="Arial"/>
      <family val="0"/>
      <charset val="1"/>
    </font>
    <font>
      <b val="true"/>
      <sz val="8"/>
      <color rgb="FF2D3336"/>
      <name val="Arial"/>
      <family val="0"/>
      <charset val="1"/>
    </font>
    <font>
      <sz val="8"/>
      <color rgb="FF2D3336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D3336"/>
        <bgColor rgb="FF333300"/>
      </patternFill>
    </fill>
    <fill>
      <patternFill patternType="solid">
        <fgColor rgb="FFEDEFF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D8286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CBF"/>
      </left>
      <right style="thin">
        <color rgb="FFB7BCBF"/>
      </right>
      <top style="thin">
        <color rgb="FFB7BCBF"/>
      </top>
      <bottom style="thin">
        <color rgb="FFB7BC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CBF"/>
      <rgbColor rgb="FF7D8286"/>
      <rgbColor rgb="FF9999FF"/>
      <rgbColor rgb="FFBE4B48"/>
      <rgbColor rgb="FFEDEF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D33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 — avanço físico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'Curva S'!D4</c:f>
              <c:strCache>
                <c:ptCount val="1"/>
                <c:pt idx="0">
                  <c:v>PREV. AC BL0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S'!$A$5:$A$30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'Curva S'!$D$5:$D$30</c:f>
              <c:numCache>
                <c:formatCode>0.0%</c:formatCode>
                <c:ptCount val="26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'Curva S'!F4</c:f>
              <c:strCache>
                <c:ptCount val="1"/>
                <c:pt idx="0">
                  <c:v>PREV. AC BL1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S'!$A$5:$A$30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'Curva S'!$F$5:$F$30</c:f>
              <c:numCache>
                <c:formatCode>0.0%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'Curva S'!H4</c:f>
              <c:strCache>
                <c:ptCount val="1"/>
                <c:pt idx="0">
                  <c:v>REAL AC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S'!$A$5:$A$30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'Curva S'!$H$5:$H$30</c:f>
              <c:numCache>
                <c:formatCode>0.0%</c:formatCode>
                <c:ptCount val="26"/>
                <c:pt idx="0">
                  <c:v>0.045</c:v>
                </c:pt>
                <c:pt idx="1">
                  <c:v>0.09</c:v>
                </c:pt>
                <c:pt idx="2">
                  <c:v>0.135</c:v>
                </c:pt>
                <c:pt idx="3">
                  <c:v>0.18</c:v>
                </c:pt>
                <c:pt idx="4">
                  <c:v>0.225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78890"/>
        <c:axId val="6039669"/>
      </c:lineChart>
      <c:catAx>
        <c:axId val="67378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9669"/>
        <c:crosses val="autoZero"/>
        <c:auto val="1"/>
        <c:lblAlgn val="ctr"/>
        <c:lblOffset val="100"/>
        <c:noMultiLvlLbl val="0"/>
      </c:catAx>
      <c:valAx>
        <c:axId val="6039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8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25</xdr:col>
      <xdr:colOff>187200</xdr:colOff>
      <xdr:row>21</xdr:row>
      <xdr:rowOff>170640</xdr:rowOff>
    </xdr:to>
    <xdr:graphicFrame>
      <xdr:nvGraphicFramePr>
        <xdr:cNvPr id="0" name="Chart 1"/>
        <xdr:cNvGraphicFramePr/>
      </xdr:nvGraphicFramePr>
      <xdr:xfrm>
        <a:off x="8012520" y="7048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1" t="s">
        <v>19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</row>
    <row r="4" customFormat="false" ht="15" hidden="false" customHeight="false" outlineLevel="0" collapsed="false">
      <c r="A4" s="5" t="s">
        <v>21</v>
      </c>
      <c r="B4" s="6" t="s">
        <v>22</v>
      </c>
    </row>
    <row r="5" customFormat="false" ht="15" hidden="false" customHeight="false" outlineLevel="0" collapsed="false">
      <c r="A5" s="5" t="s">
        <v>23</v>
      </c>
      <c r="B5" s="6" t="s">
        <v>22</v>
      </c>
    </row>
    <row r="6" customFormat="false" ht="15" hidden="false" customHeight="false" outlineLevel="0" collapsed="false">
      <c r="A6" s="5" t="s">
        <v>24</v>
      </c>
      <c r="B6" s="6" t="s">
        <v>22</v>
      </c>
    </row>
    <row r="7" customFormat="false" ht="15" hidden="false" customHeight="false" outlineLevel="0" collapsed="false">
      <c r="A7" s="5" t="s">
        <v>25</v>
      </c>
      <c r="B7" s="6" t="s">
        <v>22</v>
      </c>
    </row>
    <row r="8" customFormat="false" ht="15" hidden="false" customHeight="false" outlineLevel="0" collapsed="false">
      <c r="A8" s="5" t="s">
        <v>26</v>
      </c>
      <c r="B8" s="6" t="s">
        <v>27</v>
      </c>
    </row>
    <row r="9" customFormat="false" ht="15" hidden="false" customHeight="false" outlineLevel="0" collapsed="false">
      <c r="A9" s="5" t="s">
        <v>28</v>
      </c>
      <c r="B9" s="6" t="s">
        <v>29</v>
      </c>
    </row>
    <row r="10" customFormat="false" ht="15" hidden="false" customHeight="false" outlineLevel="0" collapsed="false">
      <c r="A10" s="5" t="s">
        <v>30</v>
      </c>
      <c r="B10" s="7" t="n">
        <v>46026</v>
      </c>
    </row>
    <row r="11" customFormat="false" ht="15" hidden="false" customHeight="false" outlineLevel="0" collapsed="false">
      <c r="A11" s="5" t="s">
        <v>31</v>
      </c>
      <c r="B11" s="7" t="n">
        <v>46060</v>
      </c>
    </row>
    <row r="12" customFormat="false" ht="15" hidden="false" customHeight="false" outlineLevel="0" collapsed="false">
      <c r="A12" s="5" t="s">
        <v>32</v>
      </c>
      <c r="B12" s="8" t="n">
        <v>1000000</v>
      </c>
    </row>
    <row r="13" customFormat="false" ht="15" hidden="false" customHeight="false" outlineLevel="0" collapsed="false">
      <c r="A13" s="5" t="s">
        <v>33</v>
      </c>
      <c r="B13" s="9" t="n">
        <v>0.04</v>
      </c>
    </row>
    <row r="14" customFormat="false" ht="15" hidden="false" customHeight="false" outlineLevel="0" collapsed="false">
      <c r="A14" s="5" t="s">
        <v>34</v>
      </c>
      <c r="B14" s="9" t="n">
        <v>0.05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</row>
    <row r="5" customFormat="false" ht="15" hidden="false" customHeight="false" outlineLevel="0" collapsed="false">
      <c r="A5" s="11"/>
      <c r="B5" s="11" t="s">
        <v>48</v>
      </c>
      <c r="C5" s="11" t="n">
        <v>0</v>
      </c>
      <c r="D5" s="11" t="s">
        <v>49</v>
      </c>
      <c r="E5" s="12" t="n">
        <f aca="false">SUMPRODUCT(($D$8:$D$26="SIM")*$E$8:$E$26)</f>
        <v>1000000</v>
      </c>
      <c r="F5" s="13" t="n">
        <f aca="false">IFERROR(E5/Parâmetros!$B$12,0)</f>
        <v>1</v>
      </c>
      <c r="G5" s="13" t="n">
        <f aca="false">IFERROR(SUMPRODUCT(($D$8:$D$26="SIM")*$F$8:$F$26*$G$8:$G$26)/SUMPRODUCT(($D$8:$D$26="SIM")*$F$8:$F$26),0)</f>
        <v>0.25</v>
      </c>
      <c r="H5" s="13" t="n">
        <f aca="false">IFERROR(SUMPRODUCT(($D$8:$D$26="SIM")*$F$8:$F$26*$H$8:$H$26)/SUMPRODUCT(($D$8:$D$26="SIM")*$F$8:$F$26),0)</f>
        <v>0.225</v>
      </c>
      <c r="I5" s="13" t="n">
        <f aca="false">IFERROR(H5/G5-1,0)</f>
        <v>-0.1</v>
      </c>
      <c r="J5" s="13" t="n">
        <f aca="false">H5-G5</f>
        <v>-0.025</v>
      </c>
      <c r="K5" s="11" t="str">
        <f aca="false">IF(G5=0,"NÃO INICIADO",IF(J5&gt;=0,"EM DIA",IF(ABS(J5)&gt;Parâmetros!$B$14,"PLANO DE AÇÃO",IF(ABS(I5)&gt;Parâmetros!$B$13,"PLANO DE RECUPERAÇÃO","ATENÇÃO"))))</f>
        <v>PLANO DE RECUPERAÇÃO</v>
      </c>
    </row>
    <row r="6" customFormat="false" ht="15" hidden="false" customHeight="false" outlineLevel="0" collapsed="false">
      <c r="A6" s="14" t="s">
        <v>50</v>
      </c>
      <c r="B6" s="14" t="s">
        <v>51</v>
      </c>
      <c r="C6" s="14" t="n">
        <v>1</v>
      </c>
      <c r="D6" s="14" t="s">
        <v>49</v>
      </c>
      <c r="E6" s="15" t="n">
        <f aca="false">SUMPRODUCT(($D$8:$D$26="SIM")*$E$8:$E$26)</f>
        <v>1000000</v>
      </c>
      <c r="F6" s="16" t="n">
        <f aca="false">IFERROR(E6/Parâmetros!$B$12,0)</f>
        <v>1</v>
      </c>
      <c r="G6" s="16" t="n">
        <f aca="false">IFERROR(SUMPRODUCT(($D$8:$D$26="SIM")*$F$8:$F$26*$G$8:$G$26)/SUMPRODUCT(($D$8:$D$26="SIM")*$F$8:$F$26),0)</f>
        <v>0.25</v>
      </c>
      <c r="H6" s="16" t="n">
        <f aca="false">IFERROR(SUMPRODUCT(($D$8:$D$26="SIM")*$F$8:$F$26*$H$8:$H$26)/SUMPRODUCT(($D$8:$D$26="SIM")*$F$8:$F$26),0)</f>
        <v>0.225</v>
      </c>
      <c r="I6" s="16" t="n">
        <f aca="false">IFERROR(H6/G6-1,0)</f>
        <v>-0.1</v>
      </c>
      <c r="J6" s="16" t="n">
        <f aca="false">H6-G6</f>
        <v>-0.025</v>
      </c>
      <c r="K6" s="14" t="str">
        <f aca="false">IF(G6=0,"NÃO INICIADO",IF(J6&gt;=0,"EM DIA",IF(ABS(J6)&gt;Parâmetros!$B$14,"PLANO DE AÇÃO",IF(ABS(I6)&gt;Parâmetros!$B$13,"PLANO DE RECUPERAÇÃO","ATENÇÃO"))))</f>
        <v>PLANO DE RECUPERAÇÃO</v>
      </c>
    </row>
    <row r="7" customFormat="false" ht="15" hidden="false" customHeight="false" outlineLevel="0" collapsed="false">
      <c r="A7" s="17" t="s">
        <v>52</v>
      </c>
      <c r="B7" s="17" t="s">
        <v>53</v>
      </c>
      <c r="C7" s="17" t="n">
        <v>2</v>
      </c>
      <c r="D7" s="17" t="s">
        <v>49</v>
      </c>
      <c r="E7" s="18" t="n">
        <f aca="false">SUMPRODUCT(($D$8:$D$8="SIM")*$E$8:$E$8)</f>
        <v>0</v>
      </c>
      <c r="F7" s="19" t="n">
        <f aca="false">IFERROR(E7/Parâmetros!$B$12,0)</f>
        <v>0</v>
      </c>
      <c r="G7" s="19" t="n">
        <f aca="false">IFERROR(SUMPRODUCT(($D$8:$D$8="SIM")*$F$8:$F$8*$G$8:$G$8)/SUMPRODUCT(($D$8:$D$8="SIM")*$F$8:$F$8),0)</f>
        <v>0</v>
      </c>
      <c r="H7" s="19" t="n">
        <f aca="false">IFERROR(SUMPRODUCT(($D$8:$D$8="SIM")*$F$8:$F$8*$H$8:$H$8)/SUMPRODUCT(($D$8:$D$8="SIM")*$F$8:$F$8),0)</f>
        <v>0</v>
      </c>
      <c r="I7" s="19" t="n">
        <f aca="false">IFERROR(H7/G7-1,0)</f>
        <v>0</v>
      </c>
      <c r="J7" s="19" t="n">
        <f aca="false">H7-G7</f>
        <v>0</v>
      </c>
      <c r="K7" s="17" t="str">
        <f aca="false">IF(G7=0,"NÃO INICIADO",IF(J7&gt;=0,"EM DIA",IF(ABS(J7)&gt;Parâmetros!$B$14,"PLANO DE AÇÃO",IF(ABS(I7)&gt;Parâmetros!$B$13,"PLANO DE RECUPERAÇÃO","ATENÇÃO"))))</f>
        <v>NÃO INICIADO</v>
      </c>
    </row>
    <row r="8" customFormat="false" ht="15" hidden="false" customHeight="false" outlineLevel="0" collapsed="false">
      <c r="A8" s="20" t="s">
        <v>54</v>
      </c>
      <c r="B8" s="20" t="s">
        <v>55</v>
      </c>
      <c r="C8" s="20" t="n">
        <v>3</v>
      </c>
      <c r="D8" s="20" t="s">
        <v>56</v>
      </c>
      <c r="E8" s="21" t="n">
        <v>0</v>
      </c>
      <c r="F8" s="22" t="n">
        <f aca="false">IFERROR(E8/Parâmetros!$B$12,0)</f>
        <v>0</v>
      </c>
      <c r="G8" s="22" t="n">
        <f aca="false">SUMIF('Previsto BL0'!$E$3:$AD$3,"&lt;="&amp;Parâmetros!$B$11,'Previsto BL0'!$E5:$AD5)</f>
        <v>0</v>
      </c>
      <c r="H8" s="22" t="n">
        <f aca="false">SUMIF(Realizado!$E$3:$AD$3,"&lt;="&amp;Parâmetros!$B$11,Realizado!$E5:$AD5)</f>
        <v>0</v>
      </c>
      <c r="I8" s="22" t="n">
        <f aca="false">IFERROR(H8/G8-1,0)</f>
        <v>0</v>
      </c>
      <c r="J8" s="22" t="n">
        <f aca="false">H8-G8</f>
        <v>0</v>
      </c>
      <c r="K8" s="20" t="str">
        <f aca="false">IF(G8=0,"NÃO INICIADO",IF(J8&gt;=0,"EM DIA",IF(ABS(J8)&gt;Parâmetros!$B$14,"PLANO DE AÇÃO",IF(ABS(I8)&gt;Parâmetros!$B$13,"PLANO DE RECUPERAÇÃO","ATENÇÃO"))))</f>
        <v>NÃO INICIADO</v>
      </c>
    </row>
    <row r="9" customFormat="false" ht="15" hidden="false" customHeight="false" outlineLevel="0" collapsed="false">
      <c r="A9" s="17" t="s">
        <v>57</v>
      </c>
      <c r="B9" s="17" t="s">
        <v>58</v>
      </c>
      <c r="C9" s="17" t="n">
        <v>2</v>
      </c>
      <c r="D9" s="17" t="s">
        <v>49</v>
      </c>
      <c r="E9" s="18" t="n">
        <f aca="false">SUMPRODUCT(($D$10:$D$11="SIM")*$E$10:$E$11)</f>
        <v>80000</v>
      </c>
      <c r="F9" s="19" t="n">
        <f aca="false">IFERROR(E9/Parâmetros!$B$12,0)</f>
        <v>0.08</v>
      </c>
      <c r="G9" s="19" t="n">
        <f aca="false">IFERROR(SUMPRODUCT(($D$10:$D$11="SIM")*$F$10:$F$11*$G$10:$G$11)/SUMPRODUCT(($D$10:$D$11="SIM")*$F$10:$F$11),0)</f>
        <v>0.25</v>
      </c>
      <c r="H9" s="19" t="n">
        <f aca="false">IFERROR(SUMPRODUCT(($D$10:$D$11="SIM")*$F$10:$F$11*$H$10:$H$11)/SUMPRODUCT(($D$10:$D$11="SIM")*$F$10:$F$11),0)</f>
        <v>0.225</v>
      </c>
      <c r="I9" s="19" t="n">
        <f aca="false">IFERROR(H9/G9-1,0)</f>
        <v>-0.1</v>
      </c>
      <c r="J9" s="19" t="n">
        <f aca="false">H9-G9</f>
        <v>-0.025</v>
      </c>
      <c r="K9" s="17" t="str">
        <f aca="false">IF(G9=0,"NÃO INICIADO",IF(J9&gt;=0,"EM DIA",IF(ABS(J9)&gt;Parâmetros!$B$14,"PLANO DE AÇÃO",IF(ABS(I9)&gt;Parâmetros!$B$13,"PLANO DE RECUPERAÇÃO","ATENÇÃO"))))</f>
        <v>PLANO DE RECUPERAÇÃO</v>
      </c>
    </row>
    <row r="10" customFormat="false" ht="15" hidden="false" customHeight="false" outlineLevel="0" collapsed="false">
      <c r="A10" s="20" t="s">
        <v>59</v>
      </c>
      <c r="B10" s="20" t="s">
        <v>60</v>
      </c>
      <c r="C10" s="20" t="n">
        <v>3</v>
      </c>
      <c r="D10" s="20" t="s">
        <v>56</v>
      </c>
      <c r="E10" s="21" t="n">
        <v>40000</v>
      </c>
      <c r="F10" s="22" t="n">
        <f aca="false">IFERROR(E10/Parâmetros!$B$12,0)</f>
        <v>0.04</v>
      </c>
      <c r="G10" s="22" t="n">
        <f aca="false">SUMIF('Previsto BL0'!$E$3:$AD$3,"&lt;="&amp;Parâmetros!$B$11,'Previsto BL0'!$E6:$AD6)</f>
        <v>0.25</v>
      </c>
      <c r="H10" s="22" t="n">
        <f aca="false">SUMIF(Realizado!$E$3:$AD$3,"&lt;="&amp;Parâmetros!$B$11,Realizado!$E6:$AD6)</f>
        <v>0.225</v>
      </c>
      <c r="I10" s="22" t="n">
        <f aca="false">IFERROR(H10/G10-1,0)</f>
        <v>-0.1</v>
      </c>
      <c r="J10" s="22" t="n">
        <f aca="false">H10-G10</f>
        <v>-0.025</v>
      </c>
      <c r="K10" s="20" t="str">
        <f aca="false">IF(G10=0,"NÃO INICIADO",IF(J10&gt;=0,"EM DIA",IF(ABS(J10)&gt;Parâmetros!$B$14,"PLANO DE AÇÃO",IF(ABS(I10)&gt;Parâmetros!$B$13,"PLANO DE RECUPERAÇÃO","ATENÇÃO"))))</f>
        <v>PLANO DE RECUPERAÇÃO</v>
      </c>
    </row>
    <row r="11" customFormat="false" ht="15" hidden="false" customHeight="false" outlineLevel="0" collapsed="false">
      <c r="A11" s="20" t="s">
        <v>61</v>
      </c>
      <c r="B11" s="20" t="s">
        <v>62</v>
      </c>
      <c r="C11" s="20" t="n">
        <v>3</v>
      </c>
      <c r="D11" s="20" t="s">
        <v>56</v>
      </c>
      <c r="E11" s="21" t="n">
        <v>40000</v>
      </c>
      <c r="F11" s="22" t="n">
        <f aca="false">IFERROR(E11/Parâmetros!$B$12,0)</f>
        <v>0.04</v>
      </c>
      <c r="G11" s="22" t="n">
        <f aca="false">SUMIF('Previsto BL0'!$E$3:$AD$3,"&lt;="&amp;Parâmetros!$B$11,'Previsto BL0'!$E7:$AD7)</f>
        <v>0.25</v>
      </c>
      <c r="H11" s="22" t="n">
        <f aca="false">SUMIF(Realizado!$E$3:$AD$3,"&lt;="&amp;Parâmetros!$B$11,Realizado!$E7:$AD7)</f>
        <v>0.225</v>
      </c>
      <c r="I11" s="22" t="n">
        <f aca="false">IFERROR(H11/G11-1,0)</f>
        <v>-0.1</v>
      </c>
      <c r="J11" s="22" t="n">
        <f aca="false">H11-G11</f>
        <v>-0.025</v>
      </c>
      <c r="K11" s="20" t="str">
        <f aca="false">IF(G11=0,"NÃO INICIADO",IF(J11&gt;=0,"EM DIA",IF(ABS(J11)&gt;Parâmetros!$B$14,"PLANO DE AÇÃO",IF(ABS(I11)&gt;Parâmetros!$B$13,"PLANO DE RECUPERAÇÃO","ATENÇÃO"))))</f>
        <v>PLANO DE RECUPERAÇÃO</v>
      </c>
    </row>
    <row r="12" customFormat="false" ht="15" hidden="false" customHeight="false" outlineLevel="0" collapsed="false">
      <c r="A12" s="17" t="s">
        <v>63</v>
      </c>
      <c r="B12" s="17" t="s">
        <v>64</v>
      </c>
      <c r="C12" s="17" t="n">
        <v>2</v>
      </c>
      <c r="D12" s="17" t="s">
        <v>49</v>
      </c>
      <c r="E12" s="18" t="n">
        <f aca="false">SUMPRODUCT(($D$13:$D$15="SIM")*$E$13:$E$15)</f>
        <v>470000</v>
      </c>
      <c r="F12" s="19" t="n">
        <f aca="false">IFERROR(E12/Parâmetros!$B$12,0)</f>
        <v>0.47</v>
      </c>
      <c r="G12" s="19" t="n">
        <f aca="false">IFERROR(SUMPRODUCT(($D$13:$D$15="SIM")*$F$13:$F$15*$G$13:$G$15)/SUMPRODUCT(($D$13:$D$15="SIM")*$F$13:$F$15),0)</f>
        <v>0.25</v>
      </c>
      <c r="H12" s="19" t="n">
        <f aca="false">IFERROR(SUMPRODUCT(($D$13:$D$15="SIM")*$F$13:$F$15*$H$13:$H$15)/SUMPRODUCT(($D$13:$D$15="SIM")*$F$13:$F$15),0)</f>
        <v>0.225</v>
      </c>
      <c r="I12" s="19" t="n">
        <f aca="false">IFERROR(H12/G12-1,0)</f>
        <v>-0.1</v>
      </c>
      <c r="J12" s="19" t="n">
        <f aca="false">H12-G12</f>
        <v>-0.025</v>
      </c>
      <c r="K12" s="17" t="str">
        <f aca="false">IF(G12=0,"NÃO INICIADO",IF(J12&gt;=0,"EM DIA",IF(ABS(J12)&gt;Parâmetros!$B$14,"PLANO DE AÇÃO",IF(ABS(I12)&gt;Parâmetros!$B$13,"PLANO DE RECUPERAÇÃO","ATENÇÃO"))))</f>
        <v>PLANO DE RECUPERAÇÃO</v>
      </c>
    </row>
    <row r="13" customFormat="false" ht="15" hidden="false" customHeight="false" outlineLevel="0" collapsed="false">
      <c r="A13" s="20" t="s">
        <v>65</v>
      </c>
      <c r="B13" s="20" t="s">
        <v>66</v>
      </c>
      <c r="C13" s="20" t="n">
        <v>3</v>
      </c>
      <c r="D13" s="20" t="s">
        <v>56</v>
      </c>
      <c r="E13" s="21" t="n">
        <v>120000</v>
      </c>
      <c r="F13" s="22" t="n">
        <f aca="false">IFERROR(E13/Parâmetros!$B$12,0)</f>
        <v>0.12</v>
      </c>
      <c r="G13" s="22" t="n">
        <f aca="false">SUMIF('Previsto BL0'!$E$3:$AD$3,"&lt;="&amp;Parâmetros!$B$11,'Previsto BL0'!$E8:$AD8)</f>
        <v>0.25</v>
      </c>
      <c r="H13" s="22" t="n">
        <f aca="false">SUMIF(Realizado!$E$3:$AD$3,"&lt;="&amp;Parâmetros!$B$11,Realizado!$E8:$AD8)</f>
        <v>0.225</v>
      </c>
      <c r="I13" s="22" t="n">
        <f aca="false">IFERROR(H13/G13-1,0)</f>
        <v>-0.1</v>
      </c>
      <c r="J13" s="22" t="n">
        <f aca="false">H13-G13</f>
        <v>-0.025</v>
      </c>
      <c r="K13" s="20" t="str">
        <f aca="false">IF(G13=0,"NÃO INICIADO",IF(J13&gt;=0,"EM DIA",IF(ABS(J13)&gt;Parâmetros!$B$14,"PLANO DE AÇÃO",IF(ABS(I13)&gt;Parâmetros!$B$13,"PLANO DE RECUPERAÇÃO","ATENÇÃO"))))</f>
        <v>PLANO DE RECUPERAÇÃO</v>
      </c>
    </row>
    <row r="14" customFormat="false" ht="15" hidden="false" customHeight="false" outlineLevel="0" collapsed="false">
      <c r="A14" s="20" t="s">
        <v>67</v>
      </c>
      <c r="B14" s="20" t="s">
        <v>68</v>
      </c>
      <c r="C14" s="20" t="n">
        <v>3</v>
      </c>
      <c r="D14" s="20" t="s">
        <v>56</v>
      </c>
      <c r="E14" s="21" t="n">
        <v>260000</v>
      </c>
      <c r="F14" s="22" t="n">
        <f aca="false">IFERROR(E14/Parâmetros!$B$12,0)</f>
        <v>0.26</v>
      </c>
      <c r="G14" s="22" t="n">
        <f aca="false">SUMIF('Previsto BL0'!$E$3:$AD$3,"&lt;="&amp;Parâmetros!$B$11,'Previsto BL0'!$E9:$AD9)</f>
        <v>0.25</v>
      </c>
      <c r="H14" s="22" t="n">
        <f aca="false">SUMIF(Realizado!$E$3:$AD$3,"&lt;="&amp;Parâmetros!$B$11,Realizado!$E9:$AD9)</f>
        <v>0.225</v>
      </c>
      <c r="I14" s="22" t="n">
        <f aca="false">IFERROR(H14/G14-1,0)</f>
        <v>-0.1</v>
      </c>
      <c r="J14" s="22" t="n">
        <f aca="false">H14-G14</f>
        <v>-0.025</v>
      </c>
      <c r="K14" s="20" t="str">
        <f aca="false">IF(G14=0,"NÃO INICIADO",IF(J14&gt;=0,"EM DIA",IF(ABS(J14)&gt;Parâmetros!$B$14,"PLANO DE AÇÃO",IF(ABS(I14)&gt;Parâmetros!$B$13,"PLANO DE RECUPERAÇÃO","ATENÇÃO"))))</f>
        <v>PLANO DE RECUPERAÇÃO</v>
      </c>
    </row>
    <row r="15" customFormat="false" ht="15" hidden="false" customHeight="false" outlineLevel="0" collapsed="false">
      <c r="A15" s="20" t="s">
        <v>69</v>
      </c>
      <c r="B15" s="20" t="s">
        <v>70</v>
      </c>
      <c r="C15" s="20" t="n">
        <v>3</v>
      </c>
      <c r="D15" s="20" t="s">
        <v>56</v>
      </c>
      <c r="E15" s="21" t="n">
        <v>90000</v>
      </c>
      <c r="F15" s="22" t="n">
        <f aca="false">IFERROR(E15/Parâmetros!$B$12,0)</f>
        <v>0.09</v>
      </c>
      <c r="G15" s="22" t="n">
        <f aca="false">SUMIF('Previsto BL0'!$E$3:$AD$3,"&lt;="&amp;Parâmetros!$B$11,'Previsto BL0'!$E10:$AD10)</f>
        <v>0.25</v>
      </c>
      <c r="H15" s="22" t="n">
        <f aca="false">SUMIF(Realizado!$E$3:$AD$3,"&lt;="&amp;Parâmetros!$B$11,Realizado!$E10:$AD10)</f>
        <v>0.225</v>
      </c>
      <c r="I15" s="22" t="n">
        <f aca="false">IFERROR(H15/G15-1,0)</f>
        <v>-0.1</v>
      </c>
      <c r="J15" s="22" t="n">
        <f aca="false">H15-G15</f>
        <v>-0.025</v>
      </c>
      <c r="K15" s="20" t="str">
        <f aca="false">IF(G15=0,"NÃO INICIADO",IF(J15&gt;=0,"EM DIA",IF(ABS(J15)&gt;Parâmetros!$B$14,"PLANO DE AÇÃO",IF(ABS(I15)&gt;Parâmetros!$B$13,"PLANO DE RECUPERAÇÃO","ATENÇÃO"))))</f>
        <v>PLANO DE RECUPERAÇÃO</v>
      </c>
    </row>
    <row r="16" customFormat="false" ht="15" hidden="false" customHeight="false" outlineLevel="0" collapsed="false">
      <c r="A16" s="17" t="s">
        <v>71</v>
      </c>
      <c r="B16" s="17" t="s">
        <v>72</v>
      </c>
      <c r="C16" s="17" t="n">
        <v>2</v>
      </c>
      <c r="D16" s="17" t="s">
        <v>49</v>
      </c>
      <c r="E16" s="18" t="n">
        <f aca="false">SUMPRODUCT(($D$17:$D$19="SIM")*$E$17:$E$19)</f>
        <v>150000</v>
      </c>
      <c r="F16" s="19" t="n">
        <f aca="false">IFERROR(E16/Parâmetros!$B$12,0)</f>
        <v>0.15</v>
      </c>
      <c r="G16" s="19" t="n">
        <f aca="false">IFERROR(SUMPRODUCT(($D$17:$D$19="SIM")*$F$17:$F$19*$G$17:$G$19)/SUMPRODUCT(($D$17:$D$19="SIM")*$F$17:$F$19),0)</f>
        <v>0.25</v>
      </c>
      <c r="H16" s="19" t="n">
        <f aca="false">IFERROR(SUMPRODUCT(($D$17:$D$19="SIM")*$F$17:$F$19*$H$17:$H$19)/SUMPRODUCT(($D$17:$D$19="SIM")*$F$17:$F$19),0)</f>
        <v>0.225</v>
      </c>
      <c r="I16" s="19" t="n">
        <f aca="false">IFERROR(H16/G16-1,0)</f>
        <v>-0.1</v>
      </c>
      <c r="J16" s="19" t="n">
        <f aca="false">H16-G16</f>
        <v>-0.025</v>
      </c>
      <c r="K16" s="17" t="str">
        <f aca="false">IF(G16=0,"NÃO INICIADO",IF(J16&gt;=0,"EM DIA",IF(ABS(J16)&gt;Parâmetros!$B$14,"PLANO DE AÇÃO",IF(ABS(I16)&gt;Parâmetros!$B$13,"PLANO DE RECUPERAÇÃO","ATENÇÃO"))))</f>
        <v>PLANO DE RECUPERAÇÃO</v>
      </c>
    </row>
    <row r="17" customFormat="false" ht="15" hidden="false" customHeight="false" outlineLevel="0" collapsed="false">
      <c r="A17" s="20" t="s">
        <v>73</v>
      </c>
      <c r="B17" s="20" t="s">
        <v>74</v>
      </c>
      <c r="C17" s="20" t="n">
        <v>3</v>
      </c>
      <c r="D17" s="20" t="s">
        <v>56</v>
      </c>
      <c r="E17" s="21" t="n">
        <v>40000</v>
      </c>
      <c r="F17" s="22" t="n">
        <f aca="false">IFERROR(E17/Parâmetros!$B$12,0)</f>
        <v>0.04</v>
      </c>
      <c r="G17" s="22" t="n">
        <f aca="false">SUMIF('Previsto BL0'!$E$3:$AD$3,"&lt;="&amp;Parâmetros!$B$11,'Previsto BL0'!$E11:$AD11)</f>
        <v>0.25</v>
      </c>
      <c r="H17" s="22" t="n">
        <f aca="false">SUMIF(Realizado!$E$3:$AD$3,"&lt;="&amp;Parâmetros!$B$11,Realizado!$E11:$AD11)</f>
        <v>0.225</v>
      </c>
      <c r="I17" s="22" t="n">
        <f aca="false">IFERROR(H17/G17-1,0)</f>
        <v>-0.1</v>
      </c>
      <c r="J17" s="22" t="n">
        <f aca="false">H17-G17</f>
        <v>-0.025</v>
      </c>
      <c r="K17" s="20" t="str">
        <f aca="false">IF(G17=0,"NÃO INICIADO",IF(J17&gt;=0,"EM DIA",IF(ABS(J17)&gt;Parâmetros!$B$14,"PLANO DE AÇÃO",IF(ABS(I17)&gt;Parâmetros!$B$13,"PLANO DE RECUPERAÇÃO","ATENÇÃO"))))</f>
        <v>PLANO DE RECUPERAÇÃO</v>
      </c>
    </row>
    <row r="18" customFormat="false" ht="15" hidden="false" customHeight="false" outlineLevel="0" collapsed="false">
      <c r="A18" s="20" t="s">
        <v>75</v>
      </c>
      <c r="B18" s="20" t="s">
        <v>76</v>
      </c>
      <c r="C18" s="20" t="n">
        <v>3</v>
      </c>
      <c r="D18" s="20" t="s">
        <v>56</v>
      </c>
      <c r="E18" s="21" t="n">
        <v>80000</v>
      </c>
      <c r="F18" s="22" t="n">
        <f aca="false">IFERROR(E18/Parâmetros!$B$12,0)</f>
        <v>0.08</v>
      </c>
      <c r="G18" s="22" t="n">
        <f aca="false">SUMIF('Previsto BL0'!$E$3:$AD$3,"&lt;="&amp;Parâmetros!$B$11,'Previsto BL0'!$E12:$AD12)</f>
        <v>0.25</v>
      </c>
      <c r="H18" s="22" t="n">
        <f aca="false">SUMIF(Realizado!$E$3:$AD$3,"&lt;="&amp;Parâmetros!$B$11,Realizado!$E12:$AD12)</f>
        <v>0.225</v>
      </c>
      <c r="I18" s="22" t="n">
        <f aca="false">IFERROR(H18/G18-1,0)</f>
        <v>-0.1</v>
      </c>
      <c r="J18" s="22" t="n">
        <f aca="false">H18-G18</f>
        <v>-0.025</v>
      </c>
      <c r="K18" s="20" t="str">
        <f aca="false">IF(G18=0,"NÃO INICIADO",IF(J18&gt;=0,"EM DIA",IF(ABS(J18)&gt;Parâmetros!$B$14,"PLANO DE AÇÃO",IF(ABS(I18)&gt;Parâmetros!$B$13,"PLANO DE RECUPERAÇÃO","ATENÇÃO"))))</f>
        <v>PLANO DE RECUPERAÇÃO</v>
      </c>
    </row>
    <row r="19" customFormat="false" ht="15" hidden="false" customHeight="false" outlineLevel="0" collapsed="false">
      <c r="A19" s="20" t="s">
        <v>77</v>
      </c>
      <c r="B19" s="20" t="s">
        <v>78</v>
      </c>
      <c r="C19" s="20" t="n">
        <v>3</v>
      </c>
      <c r="D19" s="20" t="s">
        <v>56</v>
      </c>
      <c r="E19" s="21" t="n">
        <v>30000</v>
      </c>
      <c r="F19" s="22" t="n">
        <f aca="false">IFERROR(E19/Parâmetros!$B$12,0)</f>
        <v>0.03</v>
      </c>
      <c r="G19" s="22" t="n">
        <f aca="false">SUMIF('Previsto BL0'!$E$3:$AD$3,"&lt;="&amp;Parâmetros!$B$11,'Previsto BL0'!$E13:$AD13)</f>
        <v>0.25</v>
      </c>
      <c r="H19" s="22" t="n">
        <f aca="false">SUMIF(Realizado!$E$3:$AD$3,"&lt;="&amp;Parâmetros!$B$11,Realizado!$E13:$AD13)</f>
        <v>0.225</v>
      </c>
      <c r="I19" s="22" t="n">
        <f aca="false">IFERROR(H19/G19-1,0)</f>
        <v>-0.1</v>
      </c>
      <c r="J19" s="22" t="n">
        <f aca="false">H19-G19</f>
        <v>-0.025</v>
      </c>
      <c r="K19" s="20" t="str">
        <f aca="false">IF(G19=0,"NÃO INICIADO",IF(J19&gt;=0,"EM DIA",IF(ABS(J19)&gt;Parâmetros!$B$14,"PLANO DE AÇÃO",IF(ABS(I19)&gt;Parâmetros!$B$13,"PLANO DE RECUPERAÇÃO","ATENÇÃO"))))</f>
        <v>PLANO DE RECUPERAÇÃO</v>
      </c>
    </row>
    <row r="20" customFormat="false" ht="15" hidden="false" customHeight="false" outlineLevel="0" collapsed="false">
      <c r="A20" s="17" t="s">
        <v>79</v>
      </c>
      <c r="B20" s="17" t="s">
        <v>80</v>
      </c>
      <c r="C20" s="17" t="n">
        <v>2</v>
      </c>
      <c r="D20" s="17" t="s">
        <v>49</v>
      </c>
      <c r="E20" s="18" t="n">
        <f aca="false">SUMPRODUCT(($D$21:$D$23="SIM")*$E$21:$E$23)</f>
        <v>250000</v>
      </c>
      <c r="F20" s="19" t="n">
        <f aca="false">IFERROR(E20/Parâmetros!$B$12,0)</f>
        <v>0.25</v>
      </c>
      <c r="G20" s="19" t="n">
        <f aca="false">IFERROR(SUMPRODUCT(($D$21:$D$23="SIM")*$F$21:$F$23*$G$21:$G$23)/SUMPRODUCT(($D$21:$D$23="SIM")*$F$21:$F$23),0)</f>
        <v>0.25</v>
      </c>
      <c r="H20" s="19" t="n">
        <f aca="false">IFERROR(SUMPRODUCT(($D$21:$D$23="SIM")*$F$21:$F$23*$H$21:$H$23)/SUMPRODUCT(($D$21:$D$23="SIM")*$F$21:$F$23),0)</f>
        <v>0.225</v>
      </c>
      <c r="I20" s="19" t="n">
        <f aca="false">IFERROR(H20/G20-1,0)</f>
        <v>-0.1</v>
      </c>
      <c r="J20" s="19" t="n">
        <f aca="false">H20-G20</f>
        <v>-0.025</v>
      </c>
      <c r="K20" s="17" t="str">
        <f aca="false">IF(G20=0,"NÃO INICIADO",IF(J20&gt;=0,"EM DIA",IF(ABS(J20)&gt;Parâmetros!$B$14,"PLANO DE AÇÃO",IF(ABS(I20)&gt;Parâmetros!$B$13,"PLANO DE RECUPERAÇÃO","ATENÇÃO"))))</f>
        <v>PLANO DE RECUPERAÇÃO</v>
      </c>
    </row>
    <row r="21" customFormat="false" ht="15" hidden="false" customHeight="false" outlineLevel="0" collapsed="false">
      <c r="A21" s="20" t="s">
        <v>81</v>
      </c>
      <c r="B21" s="20" t="s">
        <v>82</v>
      </c>
      <c r="C21" s="20" t="n">
        <v>3</v>
      </c>
      <c r="D21" s="20" t="s">
        <v>56</v>
      </c>
      <c r="E21" s="21" t="n">
        <v>80000</v>
      </c>
      <c r="F21" s="22" t="n">
        <f aca="false">IFERROR(E21/Parâmetros!$B$12,0)</f>
        <v>0.08</v>
      </c>
      <c r="G21" s="22" t="n">
        <f aca="false">SUMIF('Previsto BL0'!$E$3:$AD$3,"&lt;="&amp;Parâmetros!$B$11,'Previsto BL0'!$E14:$AD14)</f>
        <v>0.25</v>
      </c>
      <c r="H21" s="22" t="n">
        <f aca="false">SUMIF(Realizado!$E$3:$AD$3,"&lt;="&amp;Parâmetros!$B$11,Realizado!$E14:$AD14)</f>
        <v>0.225</v>
      </c>
      <c r="I21" s="22" t="n">
        <f aca="false">IFERROR(H21/G21-1,0)</f>
        <v>-0.1</v>
      </c>
      <c r="J21" s="22" t="n">
        <f aca="false">H21-G21</f>
        <v>-0.025</v>
      </c>
      <c r="K21" s="20" t="str">
        <f aca="false">IF(G21=0,"NÃO INICIADO",IF(J21&gt;=0,"EM DIA",IF(ABS(J21)&gt;Parâmetros!$B$14,"PLANO DE AÇÃO",IF(ABS(I21)&gt;Parâmetros!$B$13,"PLANO DE RECUPERAÇÃO","ATENÇÃO"))))</f>
        <v>PLANO DE RECUPERAÇÃO</v>
      </c>
    </row>
    <row r="22" customFormat="false" ht="15" hidden="false" customHeight="false" outlineLevel="0" collapsed="false">
      <c r="A22" s="20" t="s">
        <v>83</v>
      </c>
      <c r="B22" s="20" t="s">
        <v>84</v>
      </c>
      <c r="C22" s="20" t="n">
        <v>3</v>
      </c>
      <c r="D22" s="20" t="s">
        <v>56</v>
      </c>
      <c r="E22" s="21" t="n">
        <v>90000</v>
      </c>
      <c r="F22" s="22" t="n">
        <f aca="false">IFERROR(E22/Parâmetros!$B$12,0)</f>
        <v>0.09</v>
      </c>
      <c r="G22" s="22" t="n">
        <f aca="false">SUMIF('Previsto BL0'!$E$3:$AD$3,"&lt;="&amp;Parâmetros!$B$11,'Previsto BL0'!$E15:$AD15)</f>
        <v>0.25</v>
      </c>
      <c r="H22" s="22" t="n">
        <f aca="false">SUMIF(Realizado!$E$3:$AD$3,"&lt;="&amp;Parâmetros!$B$11,Realizado!$E15:$AD15)</f>
        <v>0.225</v>
      </c>
      <c r="I22" s="22" t="n">
        <f aca="false">IFERROR(H22/G22-1,0)</f>
        <v>-0.1</v>
      </c>
      <c r="J22" s="22" t="n">
        <f aca="false">H22-G22</f>
        <v>-0.025</v>
      </c>
      <c r="K22" s="20" t="str">
        <f aca="false">IF(G22=0,"NÃO INICIADO",IF(J22&gt;=0,"EM DIA",IF(ABS(J22)&gt;Parâmetros!$B$14,"PLANO DE AÇÃO",IF(ABS(I22)&gt;Parâmetros!$B$13,"PLANO DE RECUPERAÇÃO","ATENÇÃO"))))</f>
        <v>PLANO DE RECUPERAÇÃO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0" t="n">
        <v>3</v>
      </c>
      <c r="D23" s="20" t="s">
        <v>56</v>
      </c>
      <c r="E23" s="21" t="n">
        <v>80000</v>
      </c>
      <c r="F23" s="22" t="n">
        <f aca="false">IFERROR(E23/Parâmetros!$B$12,0)</f>
        <v>0.08</v>
      </c>
      <c r="G23" s="22" t="n">
        <f aca="false">SUMIF('Previsto BL0'!$E$3:$AD$3,"&lt;="&amp;Parâmetros!$B$11,'Previsto BL0'!$E16:$AD16)</f>
        <v>0.25</v>
      </c>
      <c r="H23" s="22" t="n">
        <f aca="false">SUMIF(Realizado!$E$3:$AD$3,"&lt;="&amp;Parâmetros!$B$11,Realizado!$E16:$AD16)</f>
        <v>0.225</v>
      </c>
      <c r="I23" s="22" t="n">
        <f aca="false">IFERROR(H23/G23-1,0)</f>
        <v>-0.1</v>
      </c>
      <c r="J23" s="22" t="n">
        <f aca="false">H23-G23</f>
        <v>-0.025</v>
      </c>
      <c r="K23" s="20" t="str">
        <f aca="false">IF(G23=0,"NÃO INICIADO",IF(J23&gt;=0,"EM DIA",IF(ABS(J23)&gt;Parâmetros!$B$14,"PLANO DE AÇÃO",IF(ABS(I23)&gt;Parâmetros!$B$13,"PLANO DE RECUPERAÇÃO","ATENÇÃO"))))</f>
        <v>PLANO DE RECUPERAÇÃO</v>
      </c>
    </row>
    <row r="24" customFormat="false" ht="15" hidden="false" customHeight="false" outlineLevel="0" collapsed="false">
      <c r="A24" s="17" t="s">
        <v>87</v>
      </c>
      <c r="B24" s="17" t="s">
        <v>88</v>
      </c>
      <c r="C24" s="17" t="n">
        <v>2</v>
      </c>
      <c r="D24" s="17" t="s">
        <v>49</v>
      </c>
      <c r="E24" s="18" t="n">
        <f aca="false">SUMPRODUCT(($D$25:$D$26="SIM")*$E$25:$E$26)</f>
        <v>50000</v>
      </c>
      <c r="F24" s="19" t="n">
        <f aca="false">IFERROR(E24/Parâmetros!$B$12,0)</f>
        <v>0.05</v>
      </c>
      <c r="G24" s="19" t="n">
        <f aca="false">IFERROR(SUMPRODUCT(($D$25:$D$26="SIM")*$F$25:$F$26*$G$25:$G$26)/SUMPRODUCT(($D$25:$D$26="SIM")*$F$25:$F$26),0)</f>
        <v>0.25</v>
      </c>
      <c r="H24" s="19" t="n">
        <f aca="false">IFERROR(SUMPRODUCT(($D$25:$D$26="SIM")*$F$25:$F$26*$H$25:$H$26)/SUMPRODUCT(($D$25:$D$26="SIM")*$F$25:$F$26),0)</f>
        <v>0.225</v>
      </c>
      <c r="I24" s="19" t="n">
        <f aca="false">IFERROR(H24/G24-1,0)</f>
        <v>-0.1</v>
      </c>
      <c r="J24" s="19" t="n">
        <f aca="false">H24-G24</f>
        <v>-0.025</v>
      </c>
      <c r="K24" s="17" t="str">
        <f aca="false">IF(G24=0,"NÃO INICIADO",IF(J24&gt;=0,"EM DIA",IF(ABS(J24)&gt;Parâmetros!$B$14,"PLANO DE AÇÃO",IF(ABS(I24)&gt;Parâmetros!$B$13,"PLANO DE RECUPERAÇÃO","ATENÇÃO"))))</f>
        <v>PLANO DE RECUPERAÇÃO</v>
      </c>
    </row>
    <row r="25" customFormat="false" ht="15" hidden="false" customHeight="false" outlineLevel="0" collapsed="false">
      <c r="A25" s="20" t="s">
        <v>89</v>
      </c>
      <c r="B25" s="20" t="s">
        <v>90</v>
      </c>
      <c r="C25" s="20" t="n">
        <v>3</v>
      </c>
      <c r="D25" s="20" t="s">
        <v>56</v>
      </c>
      <c r="E25" s="21" t="n">
        <v>20000</v>
      </c>
      <c r="F25" s="22" t="n">
        <f aca="false">IFERROR(E25/Parâmetros!$B$12,0)</f>
        <v>0.02</v>
      </c>
      <c r="G25" s="22" t="n">
        <f aca="false">SUMIF('Previsto BL0'!$E$3:$AD$3,"&lt;="&amp;Parâmetros!$B$11,'Previsto BL0'!$E17:$AD17)</f>
        <v>0.25</v>
      </c>
      <c r="H25" s="22" t="n">
        <f aca="false">SUMIF(Realizado!$E$3:$AD$3,"&lt;="&amp;Parâmetros!$B$11,Realizado!$E17:$AD17)</f>
        <v>0.225</v>
      </c>
      <c r="I25" s="22" t="n">
        <f aca="false">IFERROR(H25/G25-1,0)</f>
        <v>-0.1</v>
      </c>
      <c r="J25" s="22" t="n">
        <f aca="false">H25-G25</f>
        <v>-0.025</v>
      </c>
      <c r="K25" s="20" t="str">
        <f aca="false">IF(G25=0,"NÃO INICIADO",IF(J25&gt;=0,"EM DIA",IF(ABS(J25)&gt;Parâmetros!$B$14,"PLANO DE AÇÃO",IF(ABS(I25)&gt;Parâmetros!$B$13,"PLANO DE RECUPERAÇÃO","ATENÇÃO"))))</f>
        <v>PLANO DE RECUPERAÇÃO</v>
      </c>
    </row>
    <row r="26" customFormat="false" ht="15" hidden="false" customHeight="false" outlineLevel="0" collapsed="false">
      <c r="A26" s="20" t="s">
        <v>91</v>
      </c>
      <c r="B26" s="20" t="s">
        <v>92</v>
      </c>
      <c r="C26" s="20" t="n">
        <v>3</v>
      </c>
      <c r="D26" s="20" t="s">
        <v>56</v>
      </c>
      <c r="E26" s="21" t="n">
        <v>30000</v>
      </c>
      <c r="F26" s="22" t="n">
        <f aca="false">IFERROR(E26/Parâmetros!$B$12,0)</f>
        <v>0.03</v>
      </c>
      <c r="G26" s="22" t="n">
        <f aca="false">SUMIF('Previsto BL0'!$E$3:$AD$3,"&lt;="&amp;Parâmetros!$B$11,'Previsto BL0'!$E18:$AD18)</f>
        <v>0.25</v>
      </c>
      <c r="H26" s="22" t="n">
        <f aca="false">SUMIF(Realizado!$E$3:$AD$3,"&lt;="&amp;Parâmetros!$B$11,Realizado!$E18:$AD18)</f>
        <v>0.225</v>
      </c>
      <c r="I26" s="22" t="n">
        <f aca="false">IFERROR(H26/G26-1,0)</f>
        <v>-0.1</v>
      </c>
      <c r="J26" s="22" t="n">
        <f aca="false">H26-G26</f>
        <v>-0.025</v>
      </c>
      <c r="K26" s="20" t="str">
        <f aca="false">IF(G26=0,"NÃO INICIADO",IF(J26&gt;=0,"EM DIA",IF(ABS(J26)&gt;Parâmetros!$B$14,"PLANO DE AÇÃO",IF(ABS(I26)&gt;Parâmetros!$B$13,"PLANO DE RECUPERAÇÃO","ATENÇÃO"))))</f>
        <v>PLANO DE RECUPERAÇÃO</v>
      </c>
    </row>
    <row r="28" customFormat="false" ht="15" hidden="false" customHeight="false" outlineLevel="0" collapsed="false">
      <c r="B28" s="23" t="s">
        <v>93</v>
      </c>
      <c r="E28" s="24" t="n">
        <f aca="false">SUMPRODUCT(($D$5:$D$26="SIM")*$E$5:$E$26)</f>
        <v>1000000</v>
      </c>
      <c r="F28" s="25" t="str">
        <f aca="false">IF(E28=Parâmetros!$B$12,"OK — ponderação fecha em 1.000.000","DIVERGENTE — ajustar pontos")</f>
        <v>OK — ponderação fecha em 1.000.000</v>
      </c>
    </row>
    <row r="29" customFormat="false" ht="15" hidden="false" customHeight="false" outlineLevel="0" collapsed="false">
      <c r="B29" s="26" t="s">
        <v>94</v>
      </c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D5:D2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30" min="5" style="0" width="8"/>
  </cols>
  <sheetData>
    <row r="1" customFormat="false" ht="25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D3" s="27" t="s">
        <v>97</v>
      </c>
      <c r="E3" s="28" t="n">
        <v>46032</v>
      </c>
      <c r="F3" s="28" t="n">
        <v>46039</v>
      </c>
      <c r="G3" s="28" t="n">
        <v>46046</v>
      </c>
      <c r="H3" s="28" t="n">
        <v>46053</v>
      </c>
      <c r="I3" s="28" t="n">
        <v>46060</v>
      </c>
      <c r="J3" s="28" t="n">
        <v>46067</v>
      </c>
      <c r="K3" s="28" t="n">
        <v>46074</v>
      </c>
      <c r="L3" s="28" t="n">
        <v>46081</v>
      </c>
      <c r="M3" s="28" t="n">
        <v>46088</v>
      </c>
      <c r="N3" s="28" t="n">
        <v>46095</v>
      </c>
      <c r="O3" s="28" t="n">
        <v>46102</v>
      </c>
      <c r="P3" s="28" t="n">
        <v>46109</v>
      </c>
      <c r="Q3" s="28" t="n">
        <v>46116</v>
      </c>
      <c r="R3" s="28" t="n">
        <v>46123</v>
      </c>
      <c r="S3" s="28" t="n">
        <v>46130</v>
      </c>
      <c r="T3" s="28" t="n">
        <v>46137</v>
      </c>
      <c r="U3" s="28" t="n">
        <v>46144</v>
      </c>
      <c r="V3" s="28" t="n">
        <v>46151</v>
      </c>
      <c r="W3" s="28" t="n">
        <v>46158</v>
      </c>
      <c r="X3" s="28" t="n">
        <v>46165</v>
      </c>
      <c r="Y3" s="28" t="n">
        <v>46172</v>
      </c>
      <c r="Z3" s="28" t="n">
        <v>46179</v>
      </c>
      <c r="AA3" s="28" t="n">
        <v>46186</v>
      </c>
      <c r="AB3" s="28" t="n">
        <v>46193</v>
      </c>
      <c r="AC3" s="28" t="n">
        <v>46200</v>
      </c>
      <c r="AD3" s="28" t="n">
        <v>46207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42</v>
      </c>
      <c r="D4" s="10" t="s">
        <v>98</v>
      </c>
      <c r="E4" s="10" t="s">
        <v>99</v>
      </c>
      <c r="F4" s="10" t="s">
        <v>100</v>
      </c>
      <c r="G4" s="10" t="s">
        <v>101</v>
      </c>
      <c r="H4" s="10" t="s">
        <v>102</v>
      </c>
      <c r="I4" s="10" t="s">
        <v>103</v>
      </c>
      <c r="J4" s="10" t="s">
        <v>104</v>
      </c>
      <c r="K4" s="10" t="s">
        <v>105</v>
      </c>
      <c r="L4" s="10" t="s">
        <v>106</v>
      </c>
      <c r="M4" s="10" t="s">
        <v>107</v>
      </c>
      <c r="N4" s="10" t="s">
        <v>108</v>
      </c>
      <c r="O4" s="10" t="s">
        <v>109</v>
      </c>
      <c r="P4" s="10" t="s">
        <v>110</v>
      </c>
      <c r="Q4" s="10" t="s">
        <v>111</v>
      </c>
      <c r="R4" s="10" t="s">
        <v>112</v>
      </c>
      <c r="S4" s="10" t="s">
        <v>113</v>
      </c>
      <c r="T4" s="10" t="s">
        <v>114</v>
      </c>
      <c r="U4" s="10" t="s">
        <v>115</v>
      </c>
      <c r="V4" s="10" t="s">
        <v>116</v>
      </c>
      <c r="W4" s="10" t="s">
        <v>117</v>
      </c>
      <c r="X4" s="10" t="s">
        <v>118</v>
      </c>
      <c r="Y4" s="10" t="s">
        <v>119</v>
      </c>
      <c r="Z4" s="10" t="s">
        <v>120</v>
      </c>
      <c r="AA4" s="10" t="s">
        <v>121</v>
      </c>
      <c r="AB4" s="10" t="s">
        <v>122</v>
      </c>
      <c r="AC4" s="10" t="s">
        <v>123</v>
      </c>
      <c r="AD4" s="10" t="s">
        <v>124</v>
      </c>
    </row>
    <row r="5" customFormat="false" ht="15" hidden="false" customHeight="false" outlineLevel="0" collapsed="false">
      <c r="A5" s="25" t="s">
        <v>54</v>
      </c>
      <c r="B5" s="29" t="s">
        <v>125</v>
      </c>
      <c r="C5" s="30" t="n">
        <f aca="false">IFERROR(INDEX(EAP!$F$5:$F$26,MATCH($A5,EAP!$A$5:$A$26,0)),0)</f>
        <v>0</v>
      </c>
      <c r="D5" s="31" t="n">
        <f aca="false">SUM(E5:AD5)</f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customFormat="false" ht="15" hidden="false" customHeight="false" outlineLevel="0" collapsed="false">
      <c r="A6" s="25" t="s">
        <v>59</v>
      </c>
      <c r="B6" s="29" t="s">
        <v>126</v>
      </c>
      <c r="C6" s="30" t="n">
        <f aca="false">IFERROR(INDEX(EAP!$F$5:$F$26,MATCH($A6,EAP!$A$5:$A$26,0)),0)</f>
        <v>0.04</v>
      </c>
      <c r="D6" s="31" t="n">
        <f aca="false">SUM(E6:AD6)</f>
        <v>1</v>
      </c>
      <c r="E6" s="32" t="n">
        <v>0.05</v>
      </c>
      <c r="F6" s="32" t="n">
        <v>0.05</v>
      </c>
      <c r="G6" s="32" t="n">
        <v>0.05</v>
      </c>
      <c r="H6" s="32" t="n">
        <v>0.05</v>
      </c>
      <c r="I6" s="32" t="n">
        <v>0.05</v>
      </c>
      <c r="J6" s="32" t="n">
        <v>0.05</v>
      </c>
      <c r="K6" s="32" t="n">
        <v>0.05</v>
      </c>
      <c r="L6" s="32" t="n">
        <v>0.05</v>
      </c>
      <c r="M6" s="32" t="n">
        <v>0.05</v>
      </c>
      <c r="N6" s="32" t="n">
        <v>0.05</v>
      </c>
      <c r="O6" s="32" t="n">
        <v>0.05</v>
      </c>
      <c r="P6" s="32" t="n">
        <v>0.05</v>
      </c>
      <c r="Q6" s="32" t="n">
        <v>0.05</v>
      </c>
      <c r="R6" s="32" t="n">
        <v>0.05</v>
      </c>
      <c r="S6" s="32" t="n">
        <v>0.05</v>
      </c>
      <c r="T6" s="32" t="n">
        <v>0.05</v>
      </c>
      <c r="U6" s="32" t="n">
        <v>0.05</v>
      </c>
      <c r="V6" s="32" t="n">
        <v>0.05</v>
      </c>
      <c r="W6" s="32" t="n">
        <v>0.05</v>
      </c>
      <c r="X6" s="32" t="n">
        <v>0.05</v>
      </c>
      <c r="Y6" s="32"/>
      <c r="Z6" s="32"/>
      <c r="AA6" s="32"/>
      <c r="AB6" s="32"/>
      <c r="AC6" s="32"/>
      <c r="AD6" s="32"/>
    </row>
    <row r="7" customFormat="false" ht="15" hidden="false" customHeight="false" outlineLevel="0" collapsed="false">
      <c r="A7" s="25" t="s">
        <v>61</v>
      </c>
      <c r="B7" s="29" t="s">
        <v>127</v>
      </c>
      <c r="C7" s="30" t="n">
        <f aca="false">IFERROR(INDEX(EAP!$F$5:$F$26,MATCH($A7,EAP!$A$5:$A$26,0)),0)</f>
        <v>0.04</v>
      </c>
      <c r="D7" s="31" t="n">
        <f aca="false">SUM(E7:AD7)</f>
        <v>1</v>
      </c>
      <c r="E7" s="32" t="n">
        <v>0.05</v>
      </c>
      <c r="F7" s="32" t="n">
        <v>0.05</v>
      </c>
      <c r="G7" s="32" t="n">
        <v>0.05</v>
      </c>
      <c r="H7" s="32" t="n">
        <v>0.05</v>
      </c>
      <c r="I7" s="32" t="n">
        <v>0.05</v>
      </c>
      <c r="J7" s="32" t="n">
        <v>0.05</v>
      </c>
      <c r="K7" s="32" t="n">
        <v>0.05</v>
      </c>
      <c r="L7" s="32" t="n">
        <v>0.05</v>
      </c>
      <c r="M7" s="32" t="n">
        <v>0.05</v>
      </c>
      <c r="N7" s="32" t="n">
        <v>0.05</v>
      </c>
      <c r="O7" s="32" t="n">
        <v>0.05</v>
      </c>
      <c r="P7" s="32" t="n">
        <v>0.05</v>
      </c>
      <c r="Q7" s="32" t="n">
        <v>0.05</v>
      </c>
      <c r="R7" s="32" t="n">
        <v>0.05</v>
      </c>
      <c r="S7" s="32" t="n">
        <v>0.05</v>
      </c>
      <c r="T7" s="32" t="n">
        <v>0.05</v>
      </c>
      <c r="U7" s="32" t="n">
        <v>0.05</v>
      </c>
      <c r="V7" s="32" t="n">
        <v>0.05</v>
      </c>
      <c r="W7" s="32" t="n">
        <v>0.05</v>
      </c>
      <c r="X7" s="32" t="n">
        <v>0.05</v>
      </c>
      <c r="Y7" s="32"/>
      <c r="Z7" s="32"/>
      <c r="AA7" s="32"/>
      <c r="AB7" s="32"/>
      <c r="AC7" s="32"/>
      <c r="AD7" s="32"/>
    </row>
    <row r="8" customFormat="false" ht="15" hidden="false" customHeight="false" outlineLevel="0" collapsed="false">
      <c r="A8" s="25" t="s">
        <v>65</v>
      </c>
      <c r="B8" s="29" t="s">
        <v>128</v>
      </c>
      <c r="C8" s="30" t="n">
        <f aca="false">IFERROR(INDEX(EAP!$F$5:$F$26,MATCH($A8,EAP!$A$5:$A$26,0)),0)</f>
        <v>0.12</v>
      </c>
      <c r="D8" s="31" t="n">
        <f aca="false">SUM(E8:AD8)</f>
        <v>1</v>
      </c>
      <c r="E8" s="32" t="n">
        <v>0.05</v>
      </c>
      <c r="F8" s="32" t="n">
        <v>0.05</v>
      </c>
      <c r="G8" s="32" t="n">
        <v>0.05</v>
      </c>
      <c r="H8" s="32" t="n">
        <v>0.05</v>
      </c>
      <c r="I8" s="32" t="n">
        <v>0.05</v>
      </c>
      <c r="J8" s="32" t="n">
        <v>0.05</v>
      </c>
      <c r="K8" s="32" t="n">
        <v>0.05</v>
      </c>
      <c r="L8" s="32" t="n">
        <v>0.05</v>
      </c>
      <c r="M8" s="32" t="n">
        <v>0.05</v>
      </c>
      <c r="N8" s="32" t="n">
        <v>0.05</v>
      </c>
      <c r="O8" s="32" t="n">
        <v>0.05</v>
      </c>
      <c r="P8" s="32" t="n">
        <v>0.05</v>
      </c>
      <c r="Q8" s="32" t="n">
        <v>0.05</v>
      </c>
      <c r="R8" s="32" t="n">
        <v>0.05</v>
      </c>
      <c r="S8" s="32" t="n">
        <v>0.05</v>
      </c>
      <c r="T8" s="32" t="n">
        <v>0.05</v>
      </c>
      <c r="U8" s="32" t="n">
        <v>0.05</v>
      </c>
      <c r="V8" s="32" t="n">
        <v>0.05</v>
      </c>
      <c r="W8" s="32" t="n">
        <v>0.05</v>
      </c>
      <c r="X8" s="32" t="n">
        <v>0.05</v>
      </c>
      <c r="Y8" s="32"/>
      <c r="Z8" s="32"/>
      <c r="AA8" s="32"/>
      <c r="AB8" s="32"/>
      <c r="AC8" s="32"/>
      <c r="AD8" s="32"/>
    </row>
    <row r="9" customFormat="false" ht="15" hidden="false" customHeight="false" outlineLevel="0" collapsed="false">
      <c r="A9" s="25" t="s">
        <v>67</v>
      </c>
      <c r="B9" s="29" t="s">
        <v>129</v>
      </c>
      <c r="C9" s="30" t="n">
        <f aca="false">IFERROR(INDEX(EAP!$F$5:$F$26,MATCH($A9,EAP!$A$5:$A$26,0)),0)</f>
        <v>0.26</v>
      </c>
      <c r="D9" s="31" t="n">
        <f aca="false">SUM(E9:AD9)</f>
        <v>1</v>
      </c>
      <c r="E9" s="32" t="n">
        <v>0.05</v>
      </c>
      <c r="F9" s="32" t="n">
        <v>0.05</v>
      </c>
      <c r="G9" s="32" t="n">
        <v>0.05</v>
      </c>
      <c r="H9" s="32" t="n">
        <v>0.05</v>
      </c>
      <c r="I9" s="32" t="n">
        <v>0.05</v>
      </c>
      <c r="J9" s="32" t="n">
        <v>0.05</v>
      </c>
      <c r="K9" s="32" t="n">
        <v>0.05</v>
      </c>
      <c r="L9" s="32" t="n">
        <v>0.05</v>
      </c>
      <c r="M9" s="32" t="n">
        <v>0.05</v>
      </c>
      <c r="N9" s="32" t="n">
        <v>0.05</v>
      </c>
      <c r="O9" s="32" t="n">
        <v>0.05</v>
      </c>
      <c r="P9" s="32" t="n">
        <v>0.05</v>
      </c>
      <c r="Q9" s="32" t="n">
        <v>0.05</v>
      </c>
      <c r="R9" s="32" t="n">
        <v>0.05</v>
      </c>
      <c r="S9" s="32" t="n">
        <v>0.05</v>
      </c>
      <c r="T9" s="32" t="n">
        <v>0.05</v>
      </c>
      <c r="U9" s="32" t="n">
        <v>0.05</v>
      </c>
      <c r="V9" s="32" t="n">
        <v>0.05</v>
      </c>
      <c r="W9" s="32" t="n">
        <v>0.05</v>
      </c>
      <c r="X9" s="32" t="n">
        <v>0.05</v>
      </c>
      <c r="Y9" s="32"/>
      <c r="Z9" s="32"/>
      <c r="AA9" s="32"/>
      <c r="AB9" s="32"/>
      <c r="AC9" s="32"/>
      <c r="AD9" s="32"/>
    </row>
    <row r="10" customFormat="false" ht="15" hidden="false" customHeight="false" outlineLevel="0" collapsed="false">
      <c r="A10" s="25" t="s">
        <v>69</v>
      </c>
      <c r="B10" s="29" t="s">
        <v>130</v>
      </c>
      <c r="C10" s="30" t="n">
        <f aca="false">IFERROR(INDEX(EAP!$F$5:$F$26,MATCH($A10,EAP!$A$5:$A$26,0)),0)</f>
        <v>0.09</v>
      </c>
      <c r="D10" s="31" t="n">
        <f aca="false">SUM(E10:AD10)</f>
        <v>1</v>
      </c>
      <c r="E10" s="32" t="n">
        <v>0.05</v>
      </c>
      <c r="F10" s="32" t="n">
        <v>0.05</v>
      </c>
      <c r="G10" s="32" t="n">
        <v>0.05</v>
      </c>
      <c r="H10" s="32" t="n">
        <v>0.05</v>
      </c>
      <c r="I10" s="32" t="n">
        <v>0.05</v>
      </c>
      <c r="J10" s="32" t="n">
        <v>0.05</v>
      </c>
      <c r="K10" s="32" t="n">
        <v>0.05</v>
      </c>
      <c r="L10" s="32" t="n">
        <v>0.05</v>
      </c>
      <c r="M10" s="32" t="n">
        <v>0.05</v>
      </c>
      <c r="N10" s="32" t="n">
        <v>0.05</v>
      </c>
      <c r="O10" s="32" t="n">
        <v>0.05</v>
      </c>
      <c r="P10" s="32" t="n">
        <v>0.05</v>
      </c>
      <c r="Q10" s="32" t="n">
        <v>0.05</v>
      </c>
      <c r="R10" s="32" t="n">
        <v>0.05</v>
      </c>
      <c r="S10" s="32" t="n">
        <v>0.05</v>
      </c>
      <c r="T10" s="32" t="n">
        <v>0.05</v>
      </c>
      <c r="U10" s="32" t="n">
        <v>0.05</v>
      </c>
      <c r="V10" s="32" t="n">
        <v>0.05</v>
      </c>
      <c r="W10" s="32" t="n">
        <v>0.05</v>
      </c>
      <c r="X10" s="32" t="n">
        <v>0.05</v>
      </c>
      <c r="Y10" s="32"/>
      <c r="Z10" s="32"/>
      <c r="AA10" s="32"/>
      <c r="AB10" s="32"/>
      <c r="AC10" s="32"/>
      <c r="AD10" s="32"/>
    </row>
    <row r="11" customFormat="false" ht="15" hidden="false" customHeight="false" outlineLevel="0" collapsed="false">
      <c r="A11" s="25" t="s">
        <v>73</v>
      </c>
      <c r="B11" s="29" t="s">
        <v>131</v>
      </c>
      <c r="C11" s="30" t="n">
        <f aca="false">IFERROR(INDEX(EAP!$F$5:$F$26,MATCH($A11,EAP!$A$5:$A$26,0)),0)</f>
        <v>0.04</v>
      </c>
      <c r="D11" s="31" t="n">
        <f aca="false">SUM(E11:AD11)</f>
        <v>1</v>
      </c>
      <c r="E11" s="32" t="n">
        <v>0.05</v>
      </c>
      <c r="F11" s="32" t="n">
        <v>0.05</v>
      </c>
      <c r="G11" s="32" t="n">
        <v>0.05</v>
      </c>
      <c r="H11" s="32" t="n">
        <v>0.05</v>
      </c>
      <c r="I11" s="32" t="n">
        <v>0.05</v>
      </c>
      <c r="J11" s="32" t="n">
        <v>0.05</v>
      </c>
      <c r="K11" s="32" t="n">
        <v>0.05</v>
      </c>
      <c r="L11" s="32" t="n">
        <v>0.05</v>
      </c>
      <c r="M11" s="32" t="n">
        <v>0.05</v>
      </c>
      <c r="N11" s="32" t="n">
        <v>0.05</v>
      </c>
      <c r="O11" s="32" t="n">
        <v>0.05</v>
      </c>
      <c r="P11" s="32" t="n">
        <v>0.05</v>
      </c>
      <c r="Q11" s="32" t="n">
        <v>0.05</v>
      </c>
      <c r="R11" s="32" t="n">
        <v>0.05</v>
      </c>
      <c r="S11" s="32" t="n">
        <v>0.05</v>
      </c>
      <c r="T11" s="32" t="n">
        <v>0.05</v>
      </c>
      <c r="U11" s="32" t="n">
        <v>0.05</v>
      </c>
      <c r="V11" s="32" t="n">
        <v>0.05</v>
      </c>
      <c r="W11" s="32" t="n">
        <v>0.05</v>
      </c>
      <c r="X11" s="32" t="n">
        <v>0.05</v>
      </c>
      <c r="Y11" s="32"/>
      <c r="Z11" s="32"/>
      <c r="AA11" s="32"/>
      <c r="AB11" s="32"/>
      <c r="AC11" s="32"/>
      <c r="AD11" s="32"/>
    </row>
    <row r="12" customFormat="false" ht="15" hidden="false" customHeight="false" outlineLevel="0" collapsed="false">
      <c r="A12" s="25" t="s">
        <v>75</v>
      </c>
      <c r="B12" s="29" t="s">
        <v>132</v>
      </c>
      <c r="C12" s="30" t="n">
        <f aca="false">IFERROR(INDEX(EAP!$F$5:$F$26,MATCH($A12,EAP!$A$5:$A$26,0)),0)</f>
        <v>0.08</v>
      </c>
      <c r="D12" s="31" t="n">
        <f aca="false">SUM(E12:AD12)</f>
        <v>1</v>
      </c>
      <c r="E12" s="32" t="n">
        <v>0.05</v>
      </c>
      <c r="F12" s="32" t="n">
        <v>0.05</v>
      </c>
      <c r="G12" s="32" t="n">
        <v>0.05</v>
      </c>
      <c r="H12" s="32" t="n">
        <v>0.05</v>
      </c>
      <c r="I12" s="32" t="n">
        <v>0.05</v>
      </c>
      <c r="J12" s="32" t="n">
        <v>0.05</v>
      </c>
      <c r="K12" s="32" t="n">
        <v>0.05</v>
      </c>
      <c r="L12" s="32" t="n">
        <v>0.05</v>
      </c>
      <c r="M12" s="32" t="n">
        <v>0.05</v>
      </c>
      <c r="N12" s="32" t="n">
        <v>0.05</v>
      </c>
      <c r="O12" s="32" t="n">
        <v>0.05</v>
      </c>
      <c r="P12" s="32" t="n">
        <v>0.05</v>
      </c>
      <c r="Q12" s="32" t="n">
        <v>0.05</v>
      </c>
      <c r="R12" s="32" t="n">
        <v>0.05</v>
      </c>
      <c r="S12" s="32" t="n">
        <v>0.05</v>
      </c>
      <c r="T12" s="32" t="n">
        <v>0.05</v>
      </c>
      <c r="U12" s="32" t="n">
        <v>0.05</v>
      </c>
      <c r="V12" s="32" t="n">
        <v>0.05</v>
      </c>
      <c r="W12" s="32" t="n">
        <v>0.05</v>
      </c>
      <c r="X12" s="32" t="n">
        <v>0.05</v>
      </c>
      <c r="Y12" s="32"/>
      <c r="Z12" s="32"/>
      <c r="AA12" s="32"/>
      <c r="AB12" s="32"/>
      <c r="AC12" s="32"/>
      <c r="AD12" s="32"/>
    </row>
    <row r="13" customFormat="false" ht="15" hidden="false" customHeight="false" outlineLevel="0" collapsed="false">
      <c r="A13" s="25" t="s">
        <v>77</v>
      </c>
      <c r="B13" s="29" t="s">
        <v>133</v>
      </c>
      <c r="C13" s="30" t="n">
        <f aca="false">IFERROR(INDEX(EAP!$F$5:$F$26,MATCH($A13,EAP!$A$5:$A$26,0)),0)</f>
        <v>0.03</v>
      </c>
      <c r="D13" s="31" t="n">
        <f aca="false">SUM(E13:AD13)</f>
        <v>1</v>
      </c>
      <c r="E13" s="32" t="n">
        <v>0.05</v>
      </c>
      <c r="F13" s="32" t="n">
        <v>0.05</v>
      </c>
      <c r="G13" s="32" t="n">
        <v>0.05</v>
      </c>
      <c r="H13" s="32" t="n">
        <v>0.05</v>
      </c>
      <c r="I13" s="32" t="n">
        <v>0.05</v>
      </c>
      <c r="J13" s="32" t="n">
        <v>0.05</v>
      </c>
      <c r="K13" s="32" t="n">
        <v>0.05</v>
      </c>
      <c r="L13" s="32" t="n">
        <v>0.05</v>
      </c>
      <c r="M13" s="32" t="n">
        <v>0.05</v>
      </c>
      <c r="N13" s="32" t="n">
        <v>0.05</v>
      </c>
      <c r="O13" s="32" t="n">
        <v>0.05</v>
      </c>
      <c r="P13" s="32" t="n">
        <v>0.05</v>
      </c>
      <c r="Q13" s="32" t="n">
        <v>0.05</v>
      </c>
      <c r="R13" s="32" t="n">
        <v>0.05</v>
      </c>
      <c r="S13" s="32" t="n">
        <v>0.05</v>
      </c>
      <c r="T13" s="32" t="n">
        <v>0.05</v>
      </c>
      <c r="U13" s="32" t="n">
        <v>0.05</v>
      </c>
      <c r="V13" s="32" t="n">
        <v>0.05</v>
      </c>
      <c r="W13" s="32" t="n">
        <v>0.05</v>
      </c>
      <c r="X13" s="32" t="n">
        <v>0.05</v>
      </c>
      <c r="Y13" s="32"/>
      <c r="Z13" s="32"/>
      <c r="AA13" s="32"/>
      <c r="AB13" s="32"/>
      <c r="AC13" s="32"/>
      <c r="AD13" s="32"/>
    </row>
    <row r="14" customFormat="false" ht="15" hidden="false" customHeight="false" outlineLevel="0" collapsed="false">
      <c r="A14" s="25" t="s">
        <v>81</v>
      </c>
      <c r="B14" s="29" t="s">
        <v>134</v>
      </c>
      <c r="C14" s="30" t="n">
        <f aca="false">IFERROR(INDEX(EAP!$F$5:$F$26,MATCH($A14,EAP!$A$5:$A$26,0)),0)</f>
        <v>0.08</v>
      </c>
      <c r="D14" s="31" t="n">
        <f aca="false">SUM(E14:AD14)</f>
        <v>1</v>
      </c>
      <c r="E14" s="32" t="n">
        <v>0.05</v>
      </c>
      <c r="F14" s="32" t="n">
        <v>0.05</v>
      </c>
      <c r="G14" s="32" t="n">
        <v>0.05</v>
      </c>
      <c r="H14" s="32" t="n">
        <v>0.05</v>
      </c>
      <c r="I14" s="32" t="n">
        <v>0.05</v>
      </c>
      <c r="J14" s="32" t="n">
        <v>0.05</v>
      </c>
      <c r="K14" s="32" t="n">
        <v>0.05</v>
      </c>
      <c r="L14" s="32" t="n">
        <v>0.05</v>
      </c>
      <c r="M14" s="32" t="n">
        <v>0.05</v>
      </c>
      <c r="N14" s="32" t="n">
        <v>0.05</v>
      </c>
      <c r="O14" s="32" t="n">
        <v>0.05</v>
      </c>
      <c r="P14" s="32" t="n">
        <v>0.05</v>
      </c>
      <c r="Q14" s="32" t="n">
        <v>0.05</v>
      </c>
      <c r="R14" s="32" t="n">
        <v>0.05</v>
      </c>
      <c r="S14" s="32" t="n">
        <v>0.05</v>
      </c>
      <c r="T14" s="32" t="n">
        <v>0.05</v>
      </c>
      <c r="U14" s="32" t="n">
        <v>0.05</v>
      </c>
      <c r="V14" s="32" t="n">
        <v>0.05</v>
      </c>
      <c r="W14" s="32" t="n">
        <v>0.05</v>
      </c>
      <c r="X14" s="32" t="n">
        <v>0.05</v>
      </c>
      <c r="Y14" s="32"/>
      <c r="Z14" s="32"/>
      <c r="AA14" s="32"/>
      <c r="AB14" s="32"/>
      <c r="AC14" s="32"/>
      <c r="AD14" s="32"/>
    </row>
    <row r="15" customFormat="false" ht="15" hidden="false" customHeight="false" outlineLevel="0" collapsed="false">
      <c r="A15" s="25" t="s">
        <v>83</v>
      </c>
      <c r="B15" s="29" t="s">
        <v>135</v>
      </c>
      <c r="C15" s="30" t="n">
        <f aca="false">IFERROR(INDEX(EAP!$F$5:$F$26,MATCH($A15,EAP!$A$5:$A$26,0)),0)</f>
        <v>0.09</v>
      </c>
      <c r="D15" s="31" t="n">
        <f aca="false">SUM(E15:AD15)</f>
        <v>1</v>
      </c>
      <c r="E15" s="32" t="n">
        <v>0.05</v>
      </c>
      <c r="F15" s="32" t="n">
        <v>0.05</v>
      </c>
      <c r="G15" s="32" t="n">
        <v>0.05</v>
      </c>
      <c r="H15" s="32" t="n">
        <v>0.05</v>
      </c>
      <c r="I15" s="32" t="n">
        <v>0.05</v>
      </c>
      <c r="J15" s="32" t="n">
        <v>0.05</v>
      </c>
      <c r="K15" s="32" t="n">
        <v>0.05</v>
      </c>
      <c r="L15" s="32" t="n">
        <v>0.05</v>
      </c>
      <c r="M15" s="32" t="n">
        <v>0.05</v>
      </c>
      <c r="N15" s="32" t="n">
        <v>0.05</v>
      </c>
      <c r="O15" s="32" t="n">
        <v>0.05</v>
      </c>
      <c r="P15" s="32" t="n">
        <v>0.05</v>
      </c>
      <c r="Q15" s="32" t="n">
        <v>0.05</v>
      </c>
      <c r="R15" s="32" t="n">
        <v>0.05</v>
      </c>
      <c r="S15" s="32" t="n">
        <v>0.05</v>
      </c>
      <c r="T15" s="32" t="n">
        <v>0.05</v>
      </c>
      <c r="U15" s="32" t="n">
        <v>0.05</v>
      </c>
      <c r="V15" s="32" t="n">
        <v>0.05</v>
      </c>
      <c r="W15" s="32" t="n">
        <v>0.05</v>
      </c>
      <c r="X15" s="32" t="n">
        <v>0.05</v>
      </c>
      <c r="Y15" s="32"/>
      <c r="Z15" s="32"/>
      <c r="AA15" s="32"/>
      <c r="AB15" s="32"/>
      <c r="AC15" s="32"/>
      <c r="AD15" s="32"/>
    </row>
    <row r="16" customFormat="false" ht="15" hidden="false" customHeight="false" outlineLevel="0" collapsed="false">
      <c r="A16" s="25" t="s">
        <v>85</v>
      </c>
      <c r="B16" s="29" t="s">
        <v>136</v>
      </c>
      <c r="C16" s="30" t="n">
        <f aca="false">IFERROR(INDEX(EAP!$F$5:$F$26,MATCH($A16,EAP!$A$5:$A$26,0)),0)</f>
        <v>0.08</v>
      </c>
      <c r="D16" s="31" t="n">
        <f aca="false">SUM(E16:AD16)</f>
        <v>1</v>
      </c>
      <c r="E16" s="32" t="n">
        <v>0.05</v>
      </c>
      <c r="F16" s="32" t="n">
        <v>0.05</v>
      </c>
      <c r="G16" s="32" t="n">
        <v>0.05</v>
      </c>
      <c r="H16" s="32" t="n">
        <v>0.05</v>
      </c>
      <c r="I16" s="32" t="n">
        <v>0.05</v>
      </c>
      <c r="J16" s="32" t="n">
        <v>0.05</v>
      </c>
      <c r="K16" s="32" t="n">
        <v>0.05</v>
      </c>
      <c r="L16" s="32" t="n">
        <v>0.05</v>
      </c>
      <c r="M16" s="32" t="n">
        <v>0.05</v>
      </c>
      <c r="N16" s="32" t="n">
        <v>0.05</v>
      </c>
      <c r="O16" s="32" t="n">
        <v>0.05</v>
      </c>
      <c r="P16" s="32" t="n">
        <v>0.05</v>
      </c>
      <c r="Q16" s="32" t="n">
        <v>0.05</v>
      </c>
      <c r="R16" s="32" t="n">
        <v>0.05</v>
      </c>
      <c r="S16" s="32" t="n">
        <v>0.05</v>
      </c>
      <c r="T16" s="32" t="n">
        <v>0.05</v>
      </c>
      <c r="U16" s="32" t="n">
        <v>0.05</v>
      </c>
      <c r="V16" s="32" t="n">
        <v>0.05</v>
      </c>
      <c r="W16" s="32" t="n">
        <v>0.05</v>
      </c>
      <c r="X16" s="32" t="n">
        <v>0.05</v>
      </c>
      <c r="Y16" s="32"/>
      <c r="Z16" s="32"/>
      <c r="AA16" s="32"/>
      <c r="AB16" s="32"/>
      <c r="AC16" s="32"/>
      <c r="AD16" s="32"/>
    </row>
    <row r="17" customFormat="false" ht="15" hidden="false" customHeight="false" outlineLevel="0" collapsed="false">
      <c r="A17" s="25" t="s">
        <v>89</v>
      </c>
      <c r="B17" s="29" t="s">
        <v>137</v>
      </c>
      <c r="C17" s="30" t="n">
        <f aca="false">IFERROR(INDEX(EAP!$F$5:$F$26,MATCH($A17,EAP!$A$5:$A$26,0)),0)</f>
        <v>0.02</v>
      </c>
      <c r="D17" s="31" t="n">
        <f aca="false">SUM(E17:AD17)</f>
        <v>1</v>
      </c>
      <c r="E17" s="32" t="n">
        <v>0.05</v>
      </c>
      <c r="F17" s="32" t="n">
        <v>0.05</v>
      </c>
      <c r="G17" s="32" t="n">
        <v>0.05</v>
      </c>
      <c r="H17" s="32" t="n">
        <v>0.05</v>
      </c>
      <c r="I17" s="32" t="n">
        <v>0.05</v>
      </c>
      <c r="J17" s="32" t="n">
        <v>0.05</v>
      </c>
      <c r="K17" s="32" t="n">
        <v>0.05</v>
      </c>
      <c r="L17" s="32" t="n">
        <v>0.05</v>
      </c>
      <c r="M17" s="32" t="n">
        <v>0.05</v>
      </c>
      <c r="N17" s="32" t="n">
        <v>0.05</v>
      </c>
      <c r="O17" s="32" t="n">
        <v>0.05</v>
      </c>
      <c r="P17" s="32" t="n">
        <v>0.05</v>
      </c>
      <c r="Q17" s="32" t="n">
        <v>0.05</v>
      </c>
      <c r="R17" s="32" t="n">
        <v>0.05</v>
      </c>
      <c r="S17" s="32" t="n">
        <v>0.05</v>
      </c>
      <c r="T17" s="32" t="n">
        <v>0.05</v>
      </c>
      <c r="U17" s="32" t="n">
        <v>0.05</v>
      </c>
      <c r="V17" s="32" t="n">
        <v>0.05</v>
      </c>
      <c r="W17" s="32" t="n">
        <v>0.05</v>
      </c>
      <c r="X17" s="32" t="n">
        <v>0.05</v>
      </c>
      <c r="Y17" s="32"/>
      <c r="Z17" s="32"/>
      <c r="AA17" s="32"/>
      <c r="AB17" s="32"/>
      <c r="AC17" s="32"/>
      <c r="AD17" s="32"/>
    </row>
    <row r="18" customFormat="false" ht="15" hidden="false" customHeight="false" outlineLevel="0" collapsed="false">
      <c r="A18" s="25" t="s">
        <v>91</v>
      </c>
      <c r="B18" s="29" t="s">
        <v>138</v>
      </c>
      <c r="C18" s="30" t="n">
        <f aca="false">IFERROR(INDEX(EAP!$F$5:$F$26,MATCH($A18,EAP!$A$5:$A$26,0)),0)</f>
        <v>0.03</v>
      </c>
      <c r="D18" s="31" t="n">
        <f aca="false">SUM(E18:AD18)</f>
        <v>1</v>
      </c>
      <c r="E18" s="32" t="n">
        <v>0.05</v>
      </c>
      <c r="F18" s="32" t="n">
        <v>0.05</v>
      </c>
      <c r="G18" s="32" t="n">
        <v>0.05</v>
      </c>
      <c r="H18" s="32" t="n">
        <v>0.05</v>
      </c>
      <c r="I18" s="32" t="n">
        <v>0.05</v>
      </c>
      <c r="J18" s="32" t="n">
        <v>0.05</v>
      </c>
      <c r="K18" s="32" t="n">
        <v>0.05</v>
      </c>
      <c r="L18" s="32" t="n">
        <v>0.05</v>
      </c>
      <c r="M18" s="32" t="n">
        <v>0.05</v>
      </c>
      <c r="N18" s="32" t="n">
        <v>0.05</v>
      </c>
      <c r="O18" s="32" t="n">
        <v>0.05</v>
      </c>
      <c r="P18" s="32" t="n">
        <v>0.05</v>
      </c>
      <c r="Q18" s="32" t="n">
        <v>0.05</v>
      </c>
      <c r="R18" s="32" t="n">
        <v>0.05</v>
      </c>
      <c r="S18" s="32" t="n">
        <v>0.05</v>
      </c>
      <c r="T18" s="32" t="n">
        <v>0.05</v>
      </c>
      <c r="U18" s="32" t="n">
        <v>0.05</v>
      </c>
      <c r="V18" s="32" t="n">
        <v>0.05</v>
      </c>
      <c r="W18" s="32" t="n">
        <v>0.05</v>
      </c>
      <c r="X18" s="32" t="n">
        <v>0.05</v>
      </c>
      <c r="Y18" s="32"/>
      <c r="Z18" s="32"/>
      <c r="AA18" s="32"/>
      <c r="AB18" s="32"/>
      <c r="AC18" s="32"/>
      <c r="AD18" s="32"/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30" min="5" style="0" width="8"/>
  </cols>
  <sheetData>
    <row r="1" customFormat="false" ht="25.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D3" s="27" t="s">
        <v>97</v>
      </c>
      <c r="E3" s="28" t="n">
        <v>46032</v>
      </c>
      <c r="F3" s="28" t="n">
        <v>46039</v>
      </c>
      <c r="G3" s="28" t="n">
        <v>46046</v>
      </c>
      <c r="H3" s="28" t="n">
        <v>46053</v>
      </c>
      <c r="I3" s="28" t="n">
        <v>46060</v>
      </c>
      <c r="J3" s="28" t="n">
        <v>46067</v>
      </c>
      <c r="K3" s="28" t="n">
        <v>46074</v>
      </c>
      <c r="L3" s="28" t="n">
        <v>46081</v>
      </c>
      <c r="M3" s="28" t="n">
        <v>46088</v>
      </c>
      <c r="N3" s="28" t="n">
        <v>46095</v>
      </c>
      <c r="O3" s="28" t="n">
        <v>46102</v>
      </c>
      <c r="P3" s="28" t="n">
        <v>46109</v>
      </c>
      <c r="Q3" s="28" t="n">
        <v>46116</v>
      </c>
      <c r="R3" s="28" t="n">
        <v>46123</v>
      </c>
      <c r="S3" s="28" t="n">
        <v>46130</v>
      </c>
      <c r="T3" s="28" t="n">
        <v>46137</v>
      </c>
      <c r="U3" s="28" t="n">
        <v>46144</v>
      </c>
      <c r="V3" s="28" t="n">
        <v>46151</v>
      </c>
      <c r="W3" s="28" t="n">
        <v>46158</v>
      </c>
      <c r="X3" s="28" t="n">
        <v>46165</v>
      </c>
      <c r="Y3" s="28" t="n">
        <v>46172</v>
      </c>
      <c r="Z3" s="28" t="n">
        <v>46179</v>
      </c>
      <c r="AA3" s="28" t="n">
        <v>46186</v>
      </c>
      <c r="AB3" s="28" t="n">
        <v>46193</v>
      </c>
      <c r="AC3" s="28" t="n">
        <v>46200</v>
      </c>
      <c r="AD3" s="28" t="n">
        <v>46207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42</v>
      </c>
      <c r="D4" s="10" t="s">
        <v>98</v>
      </c>
      <c r="E4" s="10" t="s">
        <v>99</v>
      </c>
      <c r="F4" s="10" t="s">
        <v>100</v>
      </c>
      <c r="G4" s="10" t="s">
        <v>101</v>
      </c>
      <c r="H4" s="10" t="s">
        <v>102</v>
      </c>
      <c r="I4" s="10" t="s">
        <v>103</v>
      </c>
      <c r="J4" s="10" t="s">
        <v>104</v>
      </c>
      <c r="K4" s="10" t="s">
        <v>105</v>
      </c>
      <c r="L4" s="10" t="s">
        <v>106</v>
      </c>
      <c r="M4" s="10" t="s">
        <v>107</v>
      </c>
      <c r="N4" s="10" t="s">
        <v>108</v>
      </c>
      <c r="O4" s="10" t="s">
        <v>109</v>
      </c>
      <c r="P4" s="10" t="s">
        <v>110</v>
      </c>
      <c r="Q4" s="10" t="s">
        <v>111</v>
      </c>
      <c r="R4" s="10" t="s">
        <v>112</v>
      </c>
      <c r="S4" s="10" t="s">
        <v>113</v>
      </c>
      <c r="T4" s="10" t="s">
        <v>114</v>
      </c>
      <c r="U4" s="10" t="s">
        <v>115</v>
      </c>
      <c r="V4" s="10" t="s">
        <v>116</v>
      </c>
      <c r="W4" s="10" t="s">
        <v>117</v>
      </c>
      <c r="X4" s="10" t="s">
        <v>118</v>
      </c>
      <c r="Y4" s="10" t="s">
        <v>119</v>
      </c>
      <c r="Z4" s="10" t="s">
        <v>120</v>
      </c>
      <c r="AA4" s="10" t="s">
        <v>121</v>
      </c>
      <c r="AB4" s="10" t="s">
        <v>122</v>
      </c>
      <c r="AC4" s="10" t="s">
        <v>123</v>
      </c>
      <c r="AD4" s="10" t="s">
        <v>124</v>
      </c>
    </row>
    <row r="5" customFormat="false" ht="15" hidden="false" customHeight="false" outlineLevel="0" collapsed="false">
      <c r="A5" s="25" t="s">
        <v>54</v>
      </c>
      <c r="B5" s="29" t="s">
        <v>125</v>
      </c>
      <c r="C5" s="30" t="n">
        <f aca="false">IFERROR(INDEX(EAP!$F$5:$F$26,MATCH($A5,EAP!$A$5:$A$26,0)),0)</f>
        <v>0</v>
      </c>
      <c r="D5" s="31" t="n">
        <f aca="false">SUM(E5:AD5)</f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customFormat="false" ht="15" hidden="false" customHeight="false" outlineLevel="0" collapsed="false">
      <c r="A6" s="25" t="s">
        <v>59</v>
      </c>
      <c r="B6" s="29" t="s">
        <v>126</v>
      </c>
      <c r="C6" s="30" t="n">
        <f aca="false">IFERROR(INDEX(EAP!$F$5:$F$26,MATCH($A6,EAP!$A$5:$A$26,0)),0)</f>
        <v>0.04</v>
      </c>
      <c r="D6" s="31" t="n">
        <f aca="false">SUM(E6:AD6)</f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customFormat="false" ht="15" hidden="false" customHeight="false" outlineLevel="0" collapsed="false">
      <c r="A7" s="25" t="s">
        <v>61</v>
      </c>
      <c r="B7" s="29" t="s">
        <v>127</v>
      </c>
      <c r="C7" s="30" t="n">
        <f aca="false">IFERROR(INDEX(EAP!$F$5:$F$26,MATCH($A7,EAP!$A$5:$A$26,0)),0)</f>
        <v>0.04</v>
      </c>
      <c r="D7" s="31" t="n">
        <f aca="false">SUM(E7:AD7)</f>
        <v>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customFormat="false" ht="15" hidden="false" customHeight="false" outlineLevel="0" collapsed="false">
      <c r="A8" s="25" t="s">
        <v>65</v>
      </c>
      <c r="B8" s="29" t="s">
        <v>128</v>
      </c>
      <c r="C8" s="30" t="n">
        <f aca="false">IFERROR(INDEX(EAP!$F$5:$F$26,MATCH($A8,EAP!$A$5:$A$26,0)),0)</f>
        <v>0.12</v>
      </c>
      <c r="D8" s="31" t="n">
        <f aca="false">SUM(E8:AD8)</f>
        <v>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customFormat="false" ht="15" hidden="false" customHeight="false" outlineLevel="0" collapsed="false">
      <c r="A9" s="25" t="s">
        <v>67</v>
      </c>
      <c r="B9" s="29" t="s">
        <v>129</v>
      </c>
      <c r="C9" s="30" t="n">
        <f aca="false">IFERROR(INDEX(EAP!$F$5:$F$26,MATCH($A9,EAP!$A$5:$A$26,0)),0)</f>
        <v>0.26</v>
      </c>
      <c r="D9" s="31" t="n">
        <f aca="false">SUM(E9:AD9)</f>
        <v>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customFormat="false" ht="15" hidden="false" customHeight="false" outlineLevel="0" collapsed="false">
      <c r="A10" s="25" t="s">
        <v>69</v>
      </c>
      <c r="B10" s="29" t="s">
        <v>130</v>
      </c>
      <c r="C10" s="30" t="n">
        <f aca="false">IFERROR(INDEX(EAP!$F$5:$F$26,MATCH($A10,EAP!$A$5:$A$26,0)),0)</f>
        <v>0.09</v>
      </c>
      <c r="D10" s="31" t="n">
        <f aca="false">SUM(E10:AD10)</f>
        <v>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customFormat="false" ht="15" hidden="false" customHeight="false" outlineLevel="0" collapsed="false">
      <c r="A11" s="25" t="s">
        <v>73</v>
      </c>
      <c r="B11" s="29" t="s">
        <v>131</v>
      </c>
      <c r="C11" s="30" t="n">
        <f aca="false">IFERROR(INDEX(EAP!$F$5:$F$26,MATCH($A11,EAP!$A$5:$A$26,0)),0)</f>
        <v>0.04</v>
      </c>
      <c r="D11" s="31" t="n">
        <f aca="false">SUM(E11:AD11)</f>
        <v>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customFormat="false" ht="15" hidden="false" customHeight="false" outlineLevel="0" collapsed="false">
      <c r="A12" s="25" t="s">
        <v>75</v>
      </c>
      <c r="B12" s="29" t="s">
        <v>132</v>
      </c>
      <c r="C12" s="30" t="n">
        <f aca="false">IFERROR(INDEX(EAP!$F$5:$F$26,MATCH($A12,EAP!$A$5:$A$26,0)),0)</f>
        <v>0.08</v>
      </c>
      <c r="D12" s="31" t="n">
        <f aca="false">SUM(E12:AD12)</f>
        <v>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customFormat="false" ht="15" hidden="false" customHeight="false" outlineLevel="0" collapsed="false">
      <c r="A13" s="25" t="s">
        <v>77</v>
      </c>
      <c r="B13" s="29" t="s">
        <v>133</v>
      </c>
      <c r="C13" s="30" t="n">
        <f aca="false">IFERROR(INDEX(EAP!$F$5:$F$26,MATCH($A13,EAP!$A$5:$A$26,0)),0)</f>
        <v>0.03</v>
      </c>
      <c r="D13" s="31" t="n">
        <f aca="false">SUM(E13:AD13)</f>
        <v>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customFormat="false" ht="15" hidden="false" customHeight="false" outlineLevel="0" collapsed="false">
      <c r="A14" s="25" t="s">
        <v>81</v>
      </c>
      <c r="B14" s="29" t="s">
        <v>134</v>
      </c>
      <c r="C14" s="30" t="n">
        <f aca="false">IFERROR(INDEX(EAP!$F$5:$F$26,MATCH($A14,EAP!$A$5:$A$26,0)),0)</f>
        <v>0.08</v>
      </c>
      <c r="D14" s="31" t="n">
        <f aca="false">SUM(E14:AD14)</f>
        <v>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customFormat="false" ht="15" hidden="false" customHeight="false" outlineLevel="0" collapsed="false">
      <c r="A15" s="25" t="s">
        <v>83</v>
      </c>
      <c r="B15" s="29" t="s">
        <v>135</v>
      </c>
      <c r="C15" s="30" t="n">
        <f aca="false">IFERROR(INDEX(EAP!$F$5:$F$26,MATCH($A15,EAP!$A$5:$A$26,0)),0)</f>
        <v>0.09</v>
      </c>
      <c r="D15" s="31" t="n">
        <f aca="false">SUM(E15:AD15)</f>
        <v>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customFormat="false" ht="15" hidden="false" customHeight="false" outlineLevel="0" collapsed="false">
      <c r="A16" s="25" t="s">
        <v>85</v>
      </c>
      <c r="B16" s="29" t="s">
        <v>136</v>
      </c>
      <c r="C16" s="30" t="n">
        <f aca="false">IFERROR(INDEX(EAP!$F$5:$F$26,MATCH($A16,EAP!$A$5:$A$26,0)),0)</f>
        <v>0.08</v>
      </c>
      <c r="D16" s="31" t="n">
        <f aca="false">SUM(E16:AD16)</f>
        <v>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customFormat="false" ht="15" hidden="false" customHeight="false" outlineLevel="0" collapsed="false">
      <c r="A17" s="25" t="s">
        <v>89</v>
      </c>
      <c r="B17" s="29" t="s">
        <v>137</v>
      </c>
      <c r="C17" s="30" t="n">
        <f aca="false">IFERROR(INDEX(EAP!$F$5:$F$26,MATCH($A17,EAP!$A$5:$A$26,0)),0)</f>
        <v>0.02</v>
      </c>
      <c r="D17" s="31" t="n">
        <f aca="false">SUM(E17:AD17)</f>
        <v>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customFormat="false" ht="15" hidden="false" customHeight="false" outlineLevel="0" collapsed="false">
      <c r="A18" s="25" t="s">
        <v>91</v>
      </c>
      <c r="B18" s="29" t="s">
        <v>138</v>
      </c>
      <c r="C18" s="30" t="n">
        <f aca="false">IFERROR(INDEX(EAP!$F$5:$F$26,MATCH($A18,EAP!$A$5:$A$26,0)),0)</f>
        <v>0.03</v>
      </c>
      <c r="D18" s="31" t="n">
        <f aca="false">SUM(E18:AD18)</f>
        <v>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30" min="5" style="0" width="8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D3" s="27" t="s">
        <v>97</v>
      </c>
      <c r="E3" s="28" t="n">
        <v>46032</v>
      </c>
      <c r="F3" s="28" t="n">
        <v>46039</v>
      </c>
      <c r="G3" s="28" t="n">
        <v>46046</v>
      </c>
      <c r="H3" s="28" t="n">
        <v>46053</v>
      </c>
      <c r="I3" s="28" t="n">
        <v>46060</v>
      </c>
      <c r="J3" s="28" t="n">
        <v>46067</v>
      </c>
      <c r="K3" s="28" t="n">
        <v>46074</v>
      </c>
      <c r="L3" s="28" t="n">
        <v>46081</v>
      </c>
      <c r="M3" s="28" t="n">
        <v>46088</v>
      </c>
      <c r="N3" s="28" t="n">
        <v>46095</v>
      </c>
      <c r="O3" s="28" t="n">
        <v>46102</v>
      </c>
      <c r="P3" s="28" t="n">
        <v>46109</v>
      </c>
      <c r="Q3" s="28" t="n">
        <v>46116</v>
      </c>
      <c r="R3" s="28" t="n">
        <v>46123</v>
      </c>
      <c r="S3" s="28" t="n">
        <v>46130</v>
      </c>
      <c r="T3" s="28" t="n">
        <v>46137</v>
      </c>
      <c r="U3" s="28" t="n">
        <v>46144</v>
      </c>
      <c r="V3" s="28" t="n">
        <v>46151</v>
      </c>
      <c r="W3" s="28" t="n">
        <v>46158</v>
      </c>
      <c r="X3" s="28" t="n">
        <v>46165</v>
      </c>
      <c r="Y3" s="28" t="n">
        <v>46172</v>
      </c>
      <c r="Z3" s="28" t="n">
        <v>46179</v>
      </c>
      <c r="AA3" s="28" t="n">
        <v>46186</v>
      </c>
      <c r="AB3" s="28" t="n">
        <v>46193</v>
      </c>
      <c r="AC3" s="28" t="n">
        <v>46200</v>
      </c>
      <c r="AD3" s="28" t="n">
        <v>46207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42</v>
      </c>
      <c r="D4" s="10" t="s">
        <v>98</v>
      </c>
      <c r="E4" s="10" t="s">
        <v>99</v>
      </c>
      <c r="F4" s="10" t="s">
        <v>100</v>
      </c>
      <c r="G4" s="10" t="s">
        <v>101</v>
      </c>
      <c r="H4" s="10" t="s">
        <v>102</v>
      </c>
      <c r="I4" s="10" t="s">
        <v>103</v>
      </c>
      <c r="J4" s="10" t="s">
        <v>104</v>
      </c>
      <c r="K4" s="10" t="s">
        <v>105</v>
      </c>
      <c r="L4" s="10" t="s">
        <v>106</v>
      </c>
      <c r="M4" s="10" t="s">
        <v>107</v>
      </c>
      <c r="N4" s="10" t="s">
        <v>108</v>
      </c>
      <c r="O4" s="10" t="s">
        <v>109</v>
      </c>
      <c r="P4" s="10" t="s">
        <v>110</v>
      </c>
      <c r="Q4" s="10" t="s">
        <v>111</v>
      </c>
      <c r="R4" s="10" t="s">
        <v>112</v>
      </c>
      <c r="S4" s="10" t="s">
        <v>113</v>
      </c>
      <c r="T4" s="10" t="s">
        <v>114</v>
      </c>
      <c r="U4" s="10" t="s">
        <v>115</v>
      </c>
      <c r="V4" s="10" t="s">
        <v>116</v>
      </c>
      <c r="W4" s="10" t="s">
        <v>117</v>
      </c>
      <c r="X4" s="10" t="s">
        <v>118</v>
      </c>
      <c r="Y4" s="10" t="s">
        <v>119</v>
      </c>
      <c r="Z4" s="10" t="s">
        <v>120</v>
      </c>
      <c r="AA4" s="10" t="s">
        <v>121</v>
      </c>
      <c r="AB4" s="10" t="s">
        <v>122</v>
      </c>
      <c r="AC4" s="10" t="s">
        <v>123</v>
      </c>
      <c r="AD4" s="10" t="s">
        <v>124</v>
      </c>
    </row>
    <row r="5" customFormat="false" ht="15" hidden="false" customHeight="false" outlineLevel="0" collapsed="false">
      <c r="A5" s="25" t="s">
        <v>54</v>
      </c>
      <c r="B5" s="29" t="s">
        <v>125</v>
      </c>
      <c r="C5" s="30" t="n">
        <f aca="false">IFERROR(INDEX(EAP!$F$5:$F$26,MATCH($A5,EAP!$A$5:$A$26,0)),0)</f>
        <v>0</v>
      </c>
      <c r="D5" s="31" t="n">
        <f aca="false">SUM(E5:AD5)</f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customFormat="false" ht="15" hidden="false" customHeight="false" outlineLevel="0" collapsed="false">
      <c r="A6" s="25" t="s">
        <v>59</v>
      </c>
      <c r="B6" s="29" t="s">
        <v>126</v>
      </c>
      <c r="C6" s="30" t="n">
        <f aca="false">IFERROR(INDEX(EAP!$F$5:$F$26,MATCH($A6,EAP!$A$5:$A$26,0)),0)</f>
        <v>0.04</v>
      </c>
      <c r="D6" s="31" t="n">
        <f aca="false">SUM(E6:AD6)</f>
        <v>0.225</v>
      </c>
      <c r="E6" s="32" t="n">
        <v>0.045</v>
      </c>
      <c r="F6" s="32" t="n">
        <v>0.045</v>
      </c>
      <c r="G6" s="32" t="n">
        <v>0.045</v>
      </c>
      <c r="H6" s="32" t="n">
        <v>0.045</v>
      </c>
      <c r="I6" s="32" t="n">
        <v>0.045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customFormat="false" ht="15" hidden="false" customHeight="false" outlineLevel="0" collapsed="false">
      <c r="A7" s="25" t="s">
        <v>61</v>
      </c>
      <c r="B7" s="29" t="s">
        <v>127</v>
      </c>
      <c r="C7" s="30" t="n">
        <f aca="false">IFERROR(INDEX(EAP!$F$5:$F$26,MATCH($A7,EAP!$A$5:$A$26,0)),0)</f>
        <v>0.04</v>
      </c>
      <c r="D7" s="31" t="n">
        <f aca="false">SUM(E7:AD7)</f>
        <v>0.225</v>
      </c>
      <c r="E7" s="32" t="n">
        <v>0.045</v>
      </c>
      <c r="F7" s="32" t="n">
        <v>0.045</v>
      </c>
      <c r="G7" s="32" t="n">
        <v>0.045</v>
      </c>
      <c r="H7" s="32" t="n">
        <v>0.045</v>
      </c>
      <c r="I7" s="32" t="n">
        <v>0.045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customFormat="false" ht="15" hidden="false" customHeight="false" outlineLevel="0" collapsed="false">
      <c r="A8" s="25" t="s">
        <v>65</v>
      </c>
      <c r="B8" s="29" t="s">
        <v>128</v>
      </c>
      <c r="C8" s="30" t="n">
        <f aca="false">IFERROR(INDEX(EAP!$F$5:$F$26,MATCH($A8,EAP!$A$5:$A$26,0)),0)</f>
        <v>0.12</v>
      </c>
      <c r="D8" s="31" t="n">
        <f aca="false">SUM(E8:AD8)</f>
        <v>0.225</v>
      </c>
      <c r="E8" s="32" t="n">
        <v>0.045</v>
      </c>
      <c r="F8" s="32" t="n">
        <v>0.045</v>
      </c>
      <c r="G8" s="32" t="n">
        <v>0.045</v>
      </c>
      <c r="H8" s="32" t="n">
        <v>0.045</v>
      </c>
      <c r="I8" s="32" t="n">
        <v>0.045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customFormat="false" ht="15" hidden="false" customHeight="false" outlineLevel="0" collapsed="false">
      <c r="A9" s="25" t="s">
        <v>67</v>
      </c>
      <c r="B9" s="29" t="s">
        <v>129</v>
      </c>
      <c r="C9" s="30" t="n">
        <f aca="false">IFERROR(INDEX(EAP!$F$5:$F$26,MATCH($A9,EAP!$A$5:$A$26,0)),0)</f>
        <v>0.26</v>
      </c>
      <c r="D9" s="31" t="n">
        <f aca="false">SUM(E9:AD9)</f>
        <v>0.225</v>
      </c>
      <c r="E9" s="32" t="n">
        <v>0.045</v>
      </c>
      <c r="F9" s="32" t="n">
        <v>0.045</v>
      </c>
      <c r="G9" s="32" t="n">
        <v>0.045</v>
      </c>
      <c r="H9" s="32" t="n">
        <v>0.045</v>
      </c>
      <c r="I9" s="32" t="n">
        <v>0.045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customFormat="false" ht="15" hidden="false" customHeight="false" outlineLevel="0" collapsed="false">
      <c r="A10" s="25" t="s">
        <v>69</v>
      </c>
      <c r="B10" s="29" t="s">
        <v>130</v>
      </c>
      <c r="C10" s="30" t="n">
        <f aca="false">IFERROR(INDEX(EAP!$F$5:$F$26,MATCH($A10,EAP!$A$5:$A$26,0)),0)</f>
        <v>0.09</v>
      </c>
      <c r="D10" s="31" t="n">
        <f aca="false">SUM(E10:AD10)</f>
        <v>0.225</v>
      </c>
      <c r="E10" s="32" t="n">
        <v>0.045</v>
      </c>
      <c r="F10" s="32" t="n">
        <v>0.045</v>
      </c>
      <c r="G10" s="32" t="n">
        <v>0.045</v>
      </c>
      <c r="H10" s="32" t="n">
        <v>0.045</v>
      </c>
      <c r="I10" s="32" t="n">
        <v>0.045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customFormat="false" ht="15" hidden="false" customHeight="false" outlineLevel="0" collapsed="false">
      <c r="A11" s="25" t="s">
        <v>73</v>
      </c>
      <c r="B11" s="29" t="s">
        <v>131</v>
      </c>
      <c r="C11" s="30" t="n">
        <f aca="false">IFERROR(INDEX(EAP!$F$5:$F$26,MATCH($A11,EAP!$A$5:$A$26,0)),0)</f>
        <v>0.04</v>
      </c>
      <c r="D11" s="31" t="n">
        <f aca="false">SUM(E11:AD11)</f>
        <v>0.225</v>
      </c>
      <c r="E11" s="32" t="n">
        <v>0.045</v>
      </c>
      <c r="F11" s="32" t="n">
        <v>0.045</v>
      </c>
      <c r="G11" s="32" t="n">
        <v>0.045</v>
      </c>
      <c r="H11" s="32" t="n">
        <v>0.045</v>
      </c>
      <c r="I11" s="32" t="n">
        <v>0.045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customFormat="false" ht="15" hidden="false" customHeight="false" outlineLevel="0" collapsed="false">
      <c r="A12" s="25" t="s">
        <v>75</v>
      </c>
      <c r="B12" s="29" t="s">
        <v>132</v>
      </c>
      <c r="C12" s="30" t="n">
        <f aca="false">IFERROR(INDEX(EAP!$F$5:$F$26,MATCH($A12,EAP!$A$5:$A$26,0)),0)</f>
        <v>0.08</v>
      </c>
      <c r="D12" s="31" t="n">
        <f aca="false">SUM(E12:AD12)</f>
        <v>0.225</v>
      </c>
      <c r="E12" s="32" t="n">
        <v>0.045</v>
      </c>
      <c r="F12" s="32" t="n">
        <v>0.045</v>
      </c>
      <c r="G12" s="32" t="n">
        <v>0.045</v>
      </c>
      <c r="H12" s="32" t="n">
        <v>0.045</v>
      </c>
      <c r="I12" s="32" t="n">
        <v>0.045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customFormat="false" ht="15" hidden="false" customHeight="false" outlineLevel="0" collapsed="false">
      <c r="A13" s="25" t="s">
        <v>77</v>
      </c>
      <c r="B13" s="29" t="s">
        <v>133</v>
      </c>
      <c r="C13" s="30" t="n">
        <f aca="false">IFERROR(INDEX(EAP!$F$5:$F$26,MATCH($A13,EAP!$A$5:$A$26,0)),0)</f>
        <v>0.03</v>
      </c>
      <c r="D13" s="31" t="n">
        <f aca="false">SUM(E13:AD13)</f>
        <v>0.225</v>
      </c>
      <c r="E13" s="32" t="n">
        <v>0.045</v>
      </c>
      <c r="F13" s="32" t="n">
        <v>0.045</v>
      </c>
      <c r="G13" s="32" t="n">
        <v>0.045</v>
      </c>
      <c r="H13" s="32" t="n">
        <v>0.045</v>
      </c>
      <c r="I13" s="32" t="n">
        <v>0.045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customFormat="false" ht="15" hidden="false" customHeight="false" outlineLevel="0" collapsed="false">
      <c r="A14" s="25" t="s">
        <v>81</v>
      </c>
      <c r="B14" s="29" t="s">
        <v>134</v>
      </c>
      <c r="C14" s="30" t="n">
        <f aca="false">IFERROR(INDEX(EAP!$F$5:$F$26,MATCH($A14,EAP!$A$5:$A$26,0)),0)</f>
        <v>0.08</v>
      </c>
      <c r="D14" s="31" t="n">
        <f aca="false">SUM(E14:AD14)</f>
        <v>0.225</v>
      </c>
      <c r="E14" s="32" t="n">
        <v>0.045</v>
      </c>
      <c r="F14" s="32" t="n">
        <v>0.045</v>
      </c>
      <c r="G14" s="32" t="n">
        <v>0.045</v>
      </c>
      <c r="H14" s="32" t="n">
        <v>0.045</v>
      </c>
      <c r="I14" s="32" t="n">
        <v>0.045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customFormat="false" ht="15" hidden="false" customHeight="false" outlineLevel="0" collapsed="false">
      <c r="A15" s="25" t="s">
        <v>83</v>
      </c>
      <c r="B15" s="29" t="s">
        <v>135</v>
      </c>
      <c r="C15" s="30" t="n">
        <f aca="false">IFERROR(INDEX(EAP!$F$5:$F$26,MATCH($A15,EAP!$A$5:$A$26,0)),0)</f>
        <v>0.09</v>
      </c>
      <c r="D15" s="31" t="n">
        <f aca="false">SUM(E15:AD15)</f>
        <v>0.225</v>
      </c>
      <c r="E15" s="32" t="n">
        <v>0.045</v>
      </c>
      <c r="F15" s="32" t="n">
        <v>0.045</v>
      </c>
      <c r="G15" s="32" t="n">
        <v>0.045</v>
      </c>
      <c r="H15" s="32" t="n">
        <v>0.045</v>
      </c>
      <c r="I15" s="32" t="n">
        <v>0.045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customFormat="false" ht="15" hidden="false" customHeight="false" outlineLevel="0" collapsed="false">
      <c r="A16" s="25" t="s">
        <v>85</v>
      </c>
      <c r="B16" s="29" t="s">
        <v>136</v>
      </c>
      <c r="C16" s="30" t="n">
        <f aca="false">IFERROR(INDEX(EAP!$F$5:$F$26,MATCH($A16,EAP!$A$5:$A$26,0)),0)</f>
        <v>0.08</v>
      </c>
      <c r="D16" s="31" t="n">
        <f aca="false">SUM(E16:AD16)</f>
        <v>0.225</v>
      </c>
      <c r="E16" s="32" t="n">
        <v>0.045</v>
      </c>
      <c r="F16" s="32" t="n">
        <v>0.045</v>
      </c>
      <c r="G16" s="32" t="n">
        <v>0.045</v>
      </c>
      <c r="H16" s="32" t="n">
        <v>0.045</v>
      </c>
      <c r="I16" s="32" t="n">
        <v>0.045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customFormat="false" ht="15" hidden="false" customHeight="false" outlineLevel="0" collapsed="false">
      <c r="A17" s="25" t="s">
        <v>89</v>
      </c>
      <c r="B17" s="29" t="s">
        <v>137</v>
      </c>
      <c r="C17" s="30" t="n">
        <f aca="false">IFERROR(INDEX(EAP!$F$5:$F$26,MATCH($A17,EAP!$A$5:$A$26,0)),0)</f>
        <v>0.02</v>
      </c>
      <c r="D17" s="31" t="n">
        <f aca="false">SUM(E17:AD17)</f>
        <v>0.225</v>
      </c>
      <c r="E17" s="32" t="n">
        <v>0.045</v>
      </c>
      <c r="F17" s="32" t="n">
        <v>0.045</v>
      </c>
      <c r="G17" s="32" t="n">
        <v>0.045</v>
      </c>
      <c r="H17" s="32" t="n">
        <v>0.045</v>
      </c>
      <c r="I17" s="32" t="n">
        <v>0.045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customFormat="false" ht="15" hidden="false" customHeight="false" outlineLevel="0" collapsed="false">
      <c r="A18" s="25" t="s">
        <v>91</v>
      </c>
      <c r="B18" s="29" t="s">
        <v>138</v>
      </c>
      <c r="C18" s="30" t="n">
        <f aca="false">IFERROR(INDEX(EAP!$F$5:$F$26,MATCH($A18,EAP!$A$5:$A$26,0)),0)</f>
        <v>0.03</v>
      </c>
      <c r="D18" s="31" t="n">
        <f aca="false">SUM(E18:AD18)</f>
        <v>0.225</v>
      </c>
      <c r="E18" s="32" t="n">
        <v>0.045</v>
      </c>
      <c r="F18" s="32" t="n">
        <v>0.045</v>
      </c>
      <c r="G18" s="32" t="n">
        <v>0.045</v>
      </c>
      <c r="H18" s="32" t="n">
        <v>0.045</v>
      </c>
      <c r="I18" s="32" t="n">
        <v>0.045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1"/>
  </cols>
  <sheetData>
    <row r="1" customFormat="false" ht="25.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0" t="s">
        <v>145</v>
      </c>
      <c r="B4" s="10" t="s">
        <v>146</v>
      </c>
      <c r="C4" s="10" t="s">
        <v>147</v>
      </c>
      <c r="D4" s="10" t="s">
        <v>148</v>
      </c>
      <c r="E4" s="10" t="s">
        <v>149</v>
      </c>
      <c r="F4" s="10" t="s">
        <v>150</v>
      </c>
      <c r="G4" s="10" t="s">
        <v>151</v>
      </c>
      <c r="H4" s="10" t="s">
        <v>152</v>
      </c>
      <c r="I4" s="10" t="s">
        <v>153</v>
      </c>
    </row>
    <row r="5" customFormat="false" ht="15" hidden="false" customHeight="false" outlineLevel="0" collapsed="false">
      <c r="A5" s="33" t="n">
        <v>1</v>
      </c>
      <c r="B5" s="34" t="n">
        <v>46032</v>
      </c>
      <c r="C5" s="35" t="n">
        <f aca="false">SUMPRODUCT('Previsto BL0'!$E$5:$E$18,'Previsto BL0'!$C$5:$C$18)</f>
        <v>0.05</v>
      </c>
      <c r="D5" s="35" t="n">
        <f aca="false">SUM($C$5:$C5)</f>
        <v>0.05</v>
      </c>
      <c r="E5" s="35" t="n">
        <f aca="false">SUMPRODUCT('Previsto BL1'!$E$5:$E$18,'Previsto BL1'!$C$5:$C$18)</f>
        <v>0</v>
      </c>
      <c r="F5" s="35" t="n">
        <f aca="false">SUM($E$5:$E5)</f>
        <v>0</v>
      </c>
      <c r="G5" s="35" t="n">
        <f aca="false">IF($B5&gt;Parâmetros!$B$11,"",SUMPRODUCT(Realizado!$E$5:$E$18,Realizado!$C$5:$C$18))</f>
        <v>0.045</v>
      </c>
      <c r="H5" s="35" t="n">
        <f aca="false">IF($G5="","",SUM($G$5:$G5))</f>
        <v>0.045</v>
      </c>
      <c r="I5" s="35" t="n">
        <f aca="false">IF($H5="","",$H5-$D5)</f>
        <v>-0.005</v>
      </c>
    </row>
    <row r="6" customFormat="false" ht="15" hidden="false" customHeight="false" outlineLevel="0" collapsed="false">
      <c r="A6" s="33" t="n">
        <v>2</v>
      </c>
      <c r="B6" s="34" t="n">
        <v>46039</v>
      </c>
      <c r="C6" s="35" t="n">
        <f aca="false">SUMPRODUCT('Previsto BL0'!$F$5:$F$18,'Previsto BL0'!$C$5:$C$18)</f>
        <v>0.05</v>
      </c>
      <c r="D6" s="35" t="n">
        <f aca="false">SUM($C$5:$C6)</f>
        <v>0.1</v>
      </c>
      <c r="E6" s="35" t="n">
        <f aca="false">SUMPRODUCT('Previsto BL1'!$F$5:$F$18,'Previsto BL1'!$C$5:$C$18)</f>
        <v>0</v>
      </c>
      <c r="F6" s="35" t="n">
        <f aca="false">SUM($E$5:$E6)</f>
        <v>0</v>
      </c>
      <c r="G6" s="35" t="n">
        <f aca="false">IF($B6&gt;Parâmetros!$B$11,"",SUMPRODUCT(Realizado!$F$5:$F$18,Realizado!$C$5:$C$18))</f>
        <v>0.045</v>
      </c>
      <c r="H6" s="35" t="n">
        <f aca="false">IF($G6="","",SUM($G$5:$G6))</f>
        <v>0.09</v>
      </c>
      <c r="I6" s="35" t="n">
        <f aca="false">IF($H6="","",$H6-$D6)</f>
        <v>-0.01</v>
      </c>
    </row>
    <row r="7" customFormat="false" ht="15" hidden="false" customHeight="false" outlineLevel="0" collapsed="false">
      <c r="A7" s="33" t="n">
        <v>3</v>
      </c>
      <c r="B7" s="34" t="n">
        <v>46046</v>
      </c>
      <c r="C7" s="35" t="n">
        <f aca="false">SUMPRODUCT('Previsto BL0'!$G$5:$G$18,'Previsto BL0'!$C$5:$C$18)</f>
        <v>0.05</v>
      </c>
      <c r="D7" s="35" t="n">
        <f aca="false">SUM($C$5:$C7)</f>
        <v>0.15</v>
      </c>
      <c r="E7" s="35" t="n">
        <f aca="false">SUMPRODUCT('Previsto BL1'!$G$5:$G$18,'Previsto BL1'!$C$5:$C$18)</f>
        <v>0</v>
      </c>
      <c r="F7" s="35" t="n">
        <f aca="false">SUM($E$5:$E7)</f>
        <v>0</v>
      </c>
      <c r="G7" s="35" t="n">
        <f aca="false">IF($B7&gt;Parâmetros!$B$11,"",SUMPRODUCT(Realizado!$G$5:$G$18,Realizado!$C$5:$C$18))</f>
        <v>0.045</v>
      </c>
      <c r="H7" s="35" t="n">
        <f aca="false">IF($G7="","",SUM($G$5:$G7))</f>
        <v>0.135</v>
      </c>
      <c r="I7" s="35" t="n">
        <f aca="false">IF($H7="","",$H7-$D7)</f>
        <v>-0.015</v>
      </c>
    </row>
    <row r="8" customFormat="false" ht="15" hidden="false" customHeight="false" outlineLevel="0" collapsed="false">
      <c r="A8" s="33" t="n">
        <v>4</v>
      </c>
      <c r="B8" s="34" t="n">
        <v>46053</v>
      </c>
      <c r="C8" s="35" t="n">
        <f aca="false">SUMPRODUCT('Previsto BL0'!$H$5:$H$18,'Previsto BL0'!$C$5:$C$18)</f>
        <v>0.05</v>
      </c>
      <c r="D8" s="35" t="n">
        <f aca="false">SUM($C$5:$C8)</f>
        <v>0.2</v>
      </c>
      <c r="E8" s="35" t="n">
        <f aca="false">SUMPRODUCT('Previsto BL1'!$H$5:$H$18,'Previsto BL1'!$C$5:$C$18)</f>
        <v>0</v>
      </c>
      <c r="F8" s="35" t="n">
        <f aca="false">SUM($E$5:$E8)</f>
        <v>0</v>
      </c>
      <c r="G8" s="35" t="n">
        <f aca="false">IF($B8&gt;Parâmetros!$B$11,"",SUMPRODUCT(Realizado!$H$5:$H$18,Realizado!$C$5:$C$18))</f>
        <v>0.045</v>
      </c>
      <c r="H8" s="35" t="n">
        <f aca="false">IF($G8="","",SUM($G$5:$G8))</f>
        <v>0.18</v>
      </c>
      <c r="I8" s="35" t="n">
        <f aca="false">IF($H8="","",$H8-$D8)</f>
        <v>-0.02</v>
      </c>
    </row>
    <row r="9" customFormat="false" ht="15" hidden="false" customHeight="false" outlineLevel="0" collapsed="false">
      <c r="A9" s="33" t="n">
        <v>5</v>
      </c>
      <c r="B9" s="34" t="n">
        <v>46060</v>
      </c>
      <c r="C9" s="35" t="n">
        <f aca="false">SUMPRODUCT('Previsto BL0'!$I$5:$I$18,'Previsto BL0'!$C$5:$C$18)</f>
        <v>0.05</v>
      </c>
      <c r="D9" s="35" t="n">
        <f aca="false">SUM($C$5:$C9)</f>
        <v>0.25</v>
      </c>
      <c r="E9" s="35" t="n">
        <f aca="false">SUMPRODUCT('Previsto BL1'!$I$5:$I$18,'Previsto BL1'!$C$5:$C$18)</f>
        <v>0</v>
      </c>
      <c r="F9" s="35" t="n">
        <f aca="false">SUM($E$5:$E9)</f>
        <v>0</v>
      </c>
      <c r="G9" s="35" t="n">
        <f aca="false">IF($B9&gt;Parâmetros!$B$11,"",SUMPRODUCT(Realizado!$I$5:$I$18,Realizado!$C$5:$C$18))</f>
        <v>0.045</v>
      </c>
      <c r="H9" s="35" t="n">
        <f aca="false">IF($G9="","",SUM($G$5:$G9))</f>
        <v>0.225</v>
      </c>
      <c r="I9" s="35" t="n">
        <f aca="false">IF($H9="","",$H9-$D9)</f>
        <v>-0.025</v>
      </c>
    </row>
    <row r="10" customFormat="false" ht="15" hidden="false" customHeight="false" outlineLevel="0" collapsed="false">
      <c r="A10" s="33" t="n">
        <v>6</v>
      </c>
      <c r="B10" s="34" t="n">
        <v>46067</v>
      </c>
      <c r="C10" s="35" t="n">
        <f aca="false">SUMPRODUCT('Previsto BL0'!$J$5:$J$18,'Previsto BL0'!$C$5:$C$18)</f>
        <v>0.05</v>
      </c>
      <c r="D10" s="35" t="n">
        <f aca="false">SUM($C$5:$C10)</f>
        <v>0.3</v>
      </c>
      <c r="E10" s="35" t="n">
        <f aca="false">SUMPRODUCT('Previsto BL1'!$J$5:$J$18,'Previsto BL1'!$C$5:$C$18)</f>
        <v>0</v>
      </c>
      <c r="F10" s="35" t="n">
        <f aca="false">SUM($E$5:$E10)</f>
        <v>0</v>
      </c>
      <c r="G10" s="35" t="str">
        <f aca="false">IF($B10&gt;Parâmetros!$B$11,"",SUMPRODUCT(Realizado!$J$5:$J$18,Realizado!$C$5:$C$18))</f>
        <v/>
      </c>
      <c r="H10" s="35" t="str">
        <f aca="false">IF($G10="","",SUM($G$5:$G10))</f>
        <v/>
      </c>
      <c r="I10" s="35" t="str">
        <f aca="false">IF($H10="","",$H10-$D10)</f>
        <v/>
      </c>
    </row>
    <row r="11" customFormat="false" ht="15" hidden="false" customHeight="false" outlineLevel="0" collapsed="false">
      <c r="A11" s="33" t="n">
        <v>7</v>
      </c>
      <c r="B11" s="34" t="n">
        <v>46074</v>
      </c>
      <c r="C11" s="35" t="n">
        <f aca="false">SUMPRODUCT('Previsto BL0'!$K$5:$K$18,'Previsto BL0'!$C$5:$C$18)</f>
        <v>0.05</v>
      </c>
      <c r="D11" s="35" t="n">
        <f aca="false">SUM($C$5:$C11)</f>
        <v>0.35</v>
      </c>
      <c r="E11" s="35" t="n">
        <f aca="false">SUMPRODUCT('Previsto BL1'!$K$5:$K$18,'Previsto BL1'!$C$5:$C$18)</f>
        <v>0</v>
      </c>
      <c r="F11" s="35" t="n">
        <f aca="false">SUM($E$5:$E11)</f>
        <v>0</v>
      </c>
      <c r="G11" s="35" t="str">
        <f aca="false">IF($B11&gt;Parâmetros!$B$11,"",SUMPRODUCT(Realizado!$K$5:$K$18,Realizado!$C$5:$C$18))</f>
        <v/>
      </c>
      <c r="H11" s="35" t="str">
        <f aca="false">IF($G11="","",SUM($G$5:$G11))</f>
        <v/>
      </c>
      <c r="I11" s="35" t="str">
        <f aca="false">IF($H11="","",$H11-$D11)</f>
        <v/>
      </c>
    </row>
    <row r="12" customFormat="false" ht="15" hidden="false" customHeight="false" outlineLevel="0" collapsed="false">
      <c r="A12" s="33" t="n">
        <v>8</v>
      </c>
      <c r="B12" s="34" t="n">
        <v>46081</v>
      </c>
      <c r="C12" s="35" t="n">
        <f aca="false">SUMPRODUCT('Previsto BL0'!$L$5:$L$18,'Previsto BL0'!$C$5:$C$18)</f>
        <v>0.05</v>
      </c>
      <c r="D12" s="35" t="n">
        <f aca="false">SUM($C$5:$C12)</f>
        <v>0.4</v>
      </c>
      <c r="E12" s="35" t="n">
        <f aca="false">SUMPRODUCT('Previsto BL1'!$L$5:$L$18,'Previsto BL1'!$C$5:$C$18)</f>
        <v>0</v>
      </c>
      <c r="F12" s="35" t="n">
        <f aca="false">SUM($E$5:$E12)</f>
        <v>0</v>
      </c>
      <c r="G12" s="35" t="str">
        <f aca="false">IF($B12&gt;Parâmetros!$B$11,"",SUMPRODUCT(Realizado!$L$5:$L$18,Realizado!$C$5:$C$18))</f>
        <v/>
      </c>
      <c r="H12" s="35" t="str">
        <f aca="false">IF($G12="","",SUM($G$5:$G12))</f>
        <v/>
      </c>
      <c r="I12" s="35" t="str">
        <f aca="false">IF($H12="","",$H12-$D12)</f>
        <v/>
      </c>
    </row>
    <row r="13" customFormat="false" ht="15" hidden="false" customHeight="false" outlineLevel="0" collapsed="false">
      <c r="A13" s="33" t="n">
        <v>9</v>
      </c>
      <c r="B13" s="34" t="n">
        <v>46088</v>
      </c>
      <c r="C13" s="35" t="n">
        <f aca="false">SUMPRODUCT('Previsto BL0'!$M$5:$M$18,'Previsto BL0'!$C$5:$C$18)</f>
        <v>0.05</v>
      </c>
      <c r="D13" s="35" t="n">
        <f aca="false">SUM($C$5:$C13)</f>
        <v>0.45</v>
      </c>
      <c r="E13" s="35" t="n">
        <f aca="false">SUMPRODUCT('Previsto BL1'!$M$5:$M$18,'Previsto BL1'!$C$5:$C$18)</f>
        <v>0</v>
      </c>
      <c r="F13" s="35" t="n">
        <f aca="false">SUM($E$5:$E13)</f>
        <v>0</v>
      </c>
      <c r="G13" s="35" t="str">
        <f aca="false">IF($B13&gt;Parâmetros!$B$11,"",SUMPRODUCT(Realizado!$M$5:$M$18,Realizado!$C$5:$C$18))</f>
        <v/>
      </c>
      <c r="H13" s="35" t="str">
        <f aca="false">IF($G13="","",SUM($G$5:$G13))</f>
        <v/>
      </c>
      <c r="I13" s="35" t="str">
        <f aca="false">IF($H13="","",$H13-$D13)</f>
        <v/>
      </c>
    </row>
    <row r="14" customFormat="false" ht="15" hidden="false" customHeight="false" outlineLevel="0" collapsed="false">
      <c r="A14" s="33" t="n">
        <v>10</v>
      </c>
      <c r="B14" s="34" t="n">
        <v>46095</v>
      </c>
      <c r="C14" s="35" t="n">
        <f aca="false">SUMPRODUCT('Previsto BL0'!$N$5:$N$18,'Previsto BL0'!$C$5:$C$18)</f>
        <v>0.05</v>
      </c>
      <c r="D14" s="35" t="n">
        <f aca="false">SUM($C$5:$C14)</f>
        <v>0.5</v>
      </c>
      <c r="E14" s="35" t="n">
        <f aca="false">SUMPRODUCT('Previsto BL1'!$N$5:$N$18,'Previsto BL1'!$C$5:$C$18)</f>
        <v>0</v>
      </c>
      <c r="F14" s="35" t="n">
        <f aca="false">SUM($E$5:$E14)</f>
        <v>0</v>
      </c>
      <c r="G14" s="35" t="str">
        <f aca="false">IF($B14&gt;Parâmetros!$B$11,"",SUMPRODUCT(Realizado!$N$5:$N$18,Realizado!$C$5:$C$18))</f>
        <v/>
      </c>
      <c r="H14" s="35" t="str">
        <f aca="false">IF($G14="","",SUM($G$5:$G14))</f>
        <v/>
      </c>
      <c r="I14" s="35" t="str">
        <f aca="false">IF($H14="","",$H14-$D14)</f>
        <v/>
      </c>
    </row>
    <row r="15" customFormat="false" ht="15" hidden="false" customHeight="false" outlineLevel="0" collapsed="false">
      <c r="A15" s="33" t="n">
        <v>11</v>
      </c>
      <c r="B15" s="34" t="n">
        <v>46102</v>
      </c>
      <c r="C15" s="35" t="n">
        <f aca="false">SUMPRODUCT('Previsto BL0'!$O$5:$O$18,'Previsto BL0'!$C$5:$C$18)</f>
        <v>0.05</v>
      </c>
      <c r="D15" s="35" t="n">
        <f aca="false">SUM($C$5:$C15)</f>
        <v>0.55</v>
      </c>
      <c r="E15" s="35" t="n">
        <f aca="false">SUMPRODUCT('Previsto BL1'!$O$5:$O$18,'Previsto BL1'!$C$5:$C$18)</f>
        <v>0</v>
      </c>
      <c r="F15" s="35" t="n">
        <f aca="false">SUM($E$5:$E15)</f>
        <v>0</v>
      </c>
      <c r="G15" s="35" t="str">
        <f aca="false">IF($B15&gt;Parâmetros!$B$11,"",SUMPRODUCT(Realizado!$O$5:$O$18,Realizado!$C$5:$C$18))</f>
        <v/>
      </c>
      <c r="H15" s="35" t="str">
        <f aca="false">IF($G15="","",SUM($G$5:$G15))</f>
        <v/>
      </c>
      <c r="I15" s="35" t="str">
        <f aca="false">IF($H15="","",$H15-$D15)</f>
        <v/>
      </c>
    </row>
    <row r="16" customFormat="false" ht="15" hidden="false" customHeight="false" outlineLevel="0" collapsed="false">
      <c r="A16" s="33" t="n">
        <v>12</v>
      </c>
      <c r="B16" s="34" t="n">
        <v>46109</v>
      </c>
      <c r="C16" s="35" t="n">
        <f aca="false">SUMPRODUCT('Previsto BL0'!$P$5:$P$18,'Previsto BL0'!$C$5:$C$18)</f>
        <v>0.05</v>
      </c>
      <c r="D16" s="35" t="n">
        <f aca="false">SUM($C$5:$C16)</f>
        <v>0.6</v>
      </c>
      <c r="E16" s="35" t="n">
        <f aca="false">SUMPRODUCT('Previsto BL1'!$P$5:$P$18,'Previsto BL1'!$C$5:$C$18)</f>
        <v>0</v>
      </c>
      <c r="F16" s="35" t="n">
        <f aca="false">SUM($E$5:$E16)</f>
        <v>0</v>
      </c>
      <c r="G16" s="35" t="str">
        <f aca="false">IF($B16&gt;Parâmetros!$B$11,"",SUMPRODUCT(Realizado!$P$5:$P$18,Realizado!$C$5:$C$18))</f>
        <v/>
      </c>
      <c r="H16" s="35" t="str">
        <f aca="false">IF($G16="","",SUM($G$5:$G16))</f>
        <v/>
      </c>
      <c r="I16" s="35" t="str">
        <f aca="false">IF($H16="","",$H16-$D16)</f>
        <v/>
      </c>
    </row>
    <row r="17" customFormat="false" ht="15" hidden="false" customHeight="false" outlineLevel="0" collapsed="false">
      <c r="A17" s="33" t="n">
        <v>13</v>
      </c>
      <c r="B17" s="34" t="n">
        <v>46116</v>
      </c>
      <c r="C17" s="35" t="n">
        <f aca="false">SUMPRODUCT('Previsto BL0'!$Q$5:$Q$18,'Previsto BL0'!$C$5:$C$18)</f>
        <v>0.05</v>
      </c>
      <c r="D17" s="35" t="n">
        <f aca="false">SUM($C$5:$C17)</f>
        <v>0.65</v>
      </c>
      <c r="E17" s="35" t="n">
        <f aca="false">SUMPRODUCT('Previsto BL1'!$Q$5:$Q$18,'Previsto BL1'!$C$5:$C$18)</f>
        <v>0</v>
      </c>
      <c r="F17" s="35" t="n">
        <f aca="false">SUM($E$5:$E17)</f>
        <v>0</v>
      </c>
      <c r="G17" s="35" t="str">
        <f aca="false">IF($B17&gt;Parâmetros!$B$11,"",SUMPRODUCT(Realizado!$Q$5:$Q$18,Realizado!$C$5:$C$18))</f>
        <v/>
      </c>
      <c r="H17" s="35" t="str">
        <f aca="false">IF($G17="","",SUM($G$5:$G17))</f>
        <v/>
      </c>
      <c r="I17" s="35" t="str">
        <f aca="false">IF($H17="","",$H17-$D17)</f>
        <v/>
      </c>
    </row>
    <row r="18" customFormat="false" ht="15" hidden="false" customHeight="false" outlineLevel="0" collapsed="false">
      <c r="A18" s="33" t="n">
        <v>14</v>
      </c>
      <c r="B18" s="34" t="n">
        <v>46123</v>
      </c>
      <c r="C18" s="35" t="n">
        <f aca="false">SUMPRODUCT('Previsto BL0'!$R$5:$R$18,'Previsto BL0'!$C$5:$C$18)</f>
        <v>0.05</v>
      </c>
      <c r="D18" s="35" t="n">
        <f aca="false">SUM($C$5:$C18)</f>
        <v>0.7</v>
      </c>
      <c r="E18" s="35" t="n">
        <f aca="false">SUMPRODUCT('Previsto BL1'!$R$5:$R$18,'Previsto BL1'!$C$5:$C$18)</f>
        <v>0</v>
      </c>
      <c r="F18" s="35" t="n">
        <f aca="false">SUM($E$5:$E18)</f>
        <v>0</v>
      </c>
      <c r="G18" s="35" t="str">
        <f aca="false">IF($B18&gt;Parâmetros!$B$11,"",SUMPRODUCT(Realizado!$R$5:$R$18,Realizado!$C$5:$C$18))</f>
        <v/>
      </c>
      <c r="H18" s="35" t="str">
        <f aca="false">IF($G18="","",SUM($G$5:$G18))</f>
        <v/>
      </c>
      <c r="I18" s="35" t="str">
        <f aca="false">IF($H18="","",$H18-$D18)</f>
        <v/>
      </c>
    </row>
    <row r="19" customFormat="false" ht="15" hidden="false" customHeight="false" outlineLevel="0" collapsed="false">
      <c r="A19" s="33" t="n">
        <v>15</v>
      </c>
      <c r="B19" s="34" t="n">
        <v>46130</v>
      </c>
      <c r="C19" s="35" t="n">
        <f aca="false">SUMPRODUCT('Previsto BL0'!$S$5:$S$18,'Previsto BL0'!$C$5:$C$18)</f>
        <v>0.05</v>
      </c>
      <c r="D19" s="35" t="n">
        <f aca="false">SUM($C$5:$C19)</f>
        <v>0.75</v>
      </c>
      <c r="E19" s="35" t="n">
        <f aca="false">SUMPRODUCT('Previsto BL1'!$S$5:$S$18,'Previsto BL1'!$C$5:$C$18)</f>
        <v>0</v>
      </c>
      <c r="F19" s="35" t="n">
        <f aca="false">SUM($E$5:$E19)</f>
        <v>0</v>
      </c>
      <c r="G19" s="35" t="str">
        <f aca="false">IF($B19&gt;Parâmetros!$B$11,"",SUMPRODUCT(Realizado!$S$5:$S$18,Realizado!$C$5:$C$18))</f>
        <v/>
      </c>
      <c r="H19" s="35" t="str">
        <f aca="false">IF($G19="","",SUM($G$5:$G19))</f>
        <v/>
      </c>
      <c r="I19" s="35" t="str">
        <f aca="false">IF($H19="","",$H19-$D19)</f>
        <v/>
      </c>
    </row>
    <row r="20" customFormat="false" ht="15" hidden="false" customHeight="false" outlineLevel="0" collapsed="false">
      <c r="A20" s="33" t="n">
        <v>16</v>
      </c>
      <c r="B20" s="34" t="n">
        <v>46137</v>
      </c>
      <c r="C20" s="35" t="n">
        <f aca="false">SUMPRODUCT('Previsto BL0'!$T$5:$T$18,'Previsto BL0'!$C$5:$C$18)</f>
        <v>0.05</v>
      </c>
      <c r="D20" s="35" t="n">
        <f aca="false">SUM($C$5:$C20)</f>
        <v>0.8</v>
      </c>
      <c r="E20" s="35" t="n">
        <f aca="false">SUMPRODUCT('Previsto BL1'!$T$5:$T$18,'Previsto BL1'!$C$5:$C$18)</f>
        <v>0</v>
      </c>
      <c r="F20" s="35" t="n">
        <f aca="false">SUM($E$5:$E20)</f>
        <v>0</v>
      </c>
      <c r="G20" s="35" t="str">
        <f aca="false">IF($B20&gt;Parâmetros!$B$11,"",SUMPRODUCT(Realizado!$T$5:$T$18,Realizado!$C$5:$C$18))</f>
        <v/>
      </c>
      <c r="H20" s="35" t="str">
        <f aca="false">IF($G20="","",SUM($G$5:$G20))</f>
        <v/>
      </c>
      <c r="I20" s="35" t="str">
        <f aca="false">IF($H20="","",$H20-$D20)</f>
        <v/>
      </c>
    </row>
    <row r="21" customFormat="false" ht="15" hidden="false" customHeight="false" outlineLevel="0" collapsed="false">
      <c r="A21" s="33" t="n">
        <v>17</v>
      </c>
      <c r="B21" s="34" t="n">
        <v>46144</v>
      </c>
      <c r="C21" s="35" t="n">
        <f aca="false">SUMPRODUCT('Previsto BL0'!$U$5:$U$18,'Previsto BL0'!$C$5:$C$18)</f>
        <v>0.05</v>
      </c>
      <c r="D21" s="35" t="n">
        <f aca="false">SUM($C$5:$C21)</f>
        <v>0.85</v>
      </c>
      <c r="E21" s="35" t="n">
        <f aca="false">SUMPRODUCT('Previsto BL1'!$U$5:$U$18,'Previsto BL1'!$C$5:$C$18)</f>
        <v>0</v>
      </c>
      <c r="F21" s="35" t="n">
        <f aca="false">SUM($E$5:$E21)</f>
        <v>0</v>
      </c>
      <c r="G21" s="35" t="str">
        <f aca="false">IF($B21&gt;Parâmetros!$B$11,"",SUMPRODUCT(Realizado!$U$5:$U$18,Realizado!$C$5:$C$18))</f>
        <v/>
      </c>
      <c r="H21" s="35" t="str">
        <f aca="false">IF($G21="","",SUM($G$5:$G21))</f>
        <v/>
      </c>
      <c r="I21" s="35" t="str">
        <f aca="false">IF($H21="","",$H21-$D21)</f>
        <v/>
      </c>
    </row>
    <row r="22" customFormat="false" ht="15" hidden="false" customHeight="false" outlineLevel="0" collapsed="false">
      <c r="A22" s="33" t="n">
        <v>18</v>
      </c>
      <c r="B22" s="34" t="n">
        <v>46151</v>
      </c>
      <c r="C22" s="35" t="n">
        <f aca="false">SUMPRODUCT('Previsto BL0'!$V$5:$V$18,'Previsto BL0'!$C$5:$C$18)</f>
        <v>0.05</v>
      </c>
      <c r="D22" s="35" t="n">
        <f aca="false">SUM($C$5:$C22)</f>
        <v>0.9</v>
      </c>
      <c r="E22" s="35" t="n">
        <f aca="false">SUMPRODUCT('Previsto BL1'!$V$5:$V$18,'Previsto BL1'!$C$5:$C$18)</f>
        <v>0</v>
      </c>
      <c r="F22" s="35" t="n">
        <f aca="false">SUM($E$5:$E22)</f>
        <v>0</v>
      </c>
      <c r="G22" s="35" t="str">
        <f aca="false">IF($B22&gt;Parâmetros!$B$11,"",SUMPRODUCT(Realizado!$V$5:$V$18,Realizado!$C$5:$C$18))</f>
        <v/>
      </c>
      <c r="H22" s="35" t="str">
        <f aca="false">IF($G22="","",SUM($G$5:$G22))</f>
        <v/>
      </c>
      <c r="I22" s="35" t="str">
        <f aca="false">IF($H22="","",$H22-$D22)</f>
        <v/>
      </c>
    </row>
    <row r="23" customFormat="false" ht="15" hidden="false" customHeight="false" outlineLevel="0" collapsed="false">
      <c r="A23" s="33" t="n">
        <v>19</v>
      </c>
      <c r="B23" s="34" t="n">
        <v>46158</v>
      </c>
      <c r="C23" s="35" t="n">
        <f aca="false">SUMPRODUCT('Previsto BL0'!$W$5:$W$18,'Previsto BL0'!$C$5:$C$18)</f>
        <v>0.05</v>
      </c>
      <c r="D23" s="35" t="n">
        <f aca="false">SUM($C$5:$C23)</f>
        <v>0.95</v>
      </c>
      <c r="E23" s="35" t="n">
        <f aca="false">SUMPRODUCT('Previsto BL1'!$W$5:$W$18,'Previsto BL1'!$C$5:$C$18)</f>
        <v>0</v>
      </c>
      <c r="F23" s="35" t="n">
        <f aca="false">SUM($E$5:$E23)</f>
        <v>0</v>
      </c>
      <c r="G23" s="35" t="str">
        <f aca="false">IF($B23&gt;Parâmetros!$B$11,"",SUMPRODUCT(Realizado!$W$5:$W$18,Realizado!$C$5:$C$18))</f>
        <v/>
      </c>
      <c r="H23" s="35" t="str">
        <f aca="false">IF($G23="","",SUM($G$5:$G23))</f>
        <v/>
      </c>
      <c r="I23" s="35" t="str">
        <f aca="false">IF($H23="","",$H23-$D23)</f>
        <v/>
      </c>
    </row>
    <row r="24" customFormat="false" ht="15" hidden="false" customHeight="false" outlineLevel="0" collapsed="false">
      <c r="A24" s="33" t="n">
        <v>20</v>
      </c>
      <c r="B24" s="34" t="n">
        <v>46165</v>
      </c>
      <c r="C24" s="35" t="n">
        <f aca="false">SUMPRODUCT('Previsto BL0'!$X$5:$X$18,'Previsto BL0'!$C$5:$C$18)</f>
        <v>0.05</v>
      </c>
      <c r="D24" s="35" t="n">
        <f aca="false">SUM($C$5:$C24)</f>
        <v>1</v>
      </c>
      <c r="E24" s="35" t="n">
        <f aca="false">SUMPRODUCT('Previsto BL1'!$X$5:$X$18,'Previsto BL1'!$C$5:$C$18)</f>
        <v>0</v>
      </c>
      <c r="F24" s="35" t="n">
        <f aca="false">SUM($E$5:$E24)</f>
        <v>0</v>
      </c>
      <c r="G24" s="35" t="str">
        <f aca="false">IF($B24&gt;Parâmetros!$B$11,"",SUMPRODUCT(Realizado!$X$5:$X$18,Realizado!$C$5:$C$18))</f>
        <v/>
      </c>
      <c r="H24" s="35" t="str">
        <f aca="false">IF($G24="","",SUM($G$5:$G24))</f>
        <v/>
      </c>
      <c r="I24" s="35" t="str">
        <f aca="false">IF($H24="","",$H24-$D24)</f>
        <v/>
      </c>
    </row>
    <row r="25" customFormat="false" ht="15" hidden="false" customHeight="false" outlineLevel="0" collapsed="false">
      <c r="A25" s="33" t="n">
        <v>21</v>
      </c>
      <c r="B25" s="34" t="n">
        <v>46172</v>
      </c>
      <c r="C25" s="35" t="n">
        <f aca="false">SUMPRODUCT('Previsto BL0'!$Y$5:$Y$18,'Previsto BL0'!$C$5:$C$18)</f>
        <v>0</v>
      </c>
      <c r="D25" s="35" t="n">
        <f aca="false">SUM($C$5:$C25)</f>
        <v>1</v>
      </c>
      <c r="E25" s="35" t="n">
        <f aca="false">SUMPRODUCT('Previsto BL1'!$Y$5:$Y$18,'Previsto BL1'!$C$5:$C$18)</f>
        <v>0</v>
      </c>
      <c r="F25" s="35" t="n">
        <f aca="false">SUM($E$5:$E25)</f>
        <v>0</v>
      </c>
      <c r="G25" s="35" t="str">
        <f aca="false">IF($B25&gt;Parâmetros!$B$11,"",SUMPRODUCT(Realizado!$Y$5:$Y$18,Realizado!$C$5:$C$18))</f>
        <v/>
      </c>
      <c r="H25" s="35" t="str">
        <f aca="false">IF($G25="","",SUM($G$5:$G25))</f>
        <v/>
      </c>
      <c r="I25" s="35" t="str">
        <f aca="false">IF($H25="","",$H25-$D25)</f>
        <v/>
      </c>
    </row>
    <row r="26" customFormat="false" ht="15" hidden="false" customHeight="false" outlineLevel="0" collapsed="false">
      <c r="A26" s="33" t="n">
        <v>22</v>
      </c>
      <c r="B26" s="34" t="n">
        <v>46179</v>
      </c>
      <c r="C26" s="35" t="n">
        <f aca="false">SUMPRODUCT('Previsto BL0'!$Z$5:$Z$18,'Previsto BL0'!$C$5:$C$18)</f>
        <v>0</v>
      </c>
      <c r="D26" s="35" t="n">
        <f aca="false">SUM($C$5:$C26)</f>
        <v>1</v>
      </c>
      <c r="E26" s="35" t="n">
        <f aca="false">SUMPRODUCT('Previsto BL1'!$Z$5:$Z$18,'Previsto BL1'!$C$5:$C$18)</f>
        <v>0</v>
      </c>
      <c r="F26" s="35" t="n">
        <f aca="false">SUM($E$5:$E26)</f>
        <v>0</v>
      </c>
      <c r="G26" s="35" t="str">
        <f aca="false">IF($B26&gt;Parâmetros!$B$11,"",SUMPRODUCT(Realizado!$Z$5:$Z$18,Realizado!$C$5:$C$18))</f>
        <v/>
      </c>
      <c r="H26" s="35" t="str">
        <f aca="false">IF($G26="","",SUM($G$5:$G26))</f>
        <v/>
      </c>
      <c r="I26" s="35" t="str">
        <f aca="false">IF($H26="","",$H26-$D26)</f>
        <v/>
      </c>
    </row>
    <row r="27" customFormat="false" ht="15" hidden="false" customHeight="false" outlineLevel="0" collapsed="false">
      <c r="A27" s="33" t="n">
        <v>23</v>
      </c>
      <c r="B27" s="34" t="n">
        <v>46186</v>
      </c>
      <c r="C27" s="35" t="n">
        <f aca="false">SUMPRODUCT('Previsto BL0'!$AA$5:$AA$18,'Previsto BL0'!$C$5:$C$18)</f>
        <v>0</v>
      </c>
      <c r="D27" s="35" t="n">
        <f aca="false">SUM($C$5:$C27)</f>
        <v>1</v>
      </c>
      <c r="E27" s="35" t="n">
        <f aca="false">SUMPRODUCT('Previsto BL1'!$AA$5:$AA$18,'Previsto BL1'!$C$5:$C$18)</f>
        <v>0</v>
      </c>
      <c r="F27" s="35" t="n">
        <f aca="false">SUM($E$5:$E27)</f>
        <v>0</v>
      </c>
      <c r="G27" s="35" t="str">
        <f aca="false">IF($B27&gt;Parâmetros!$B$11,"",SUMPRODUCT(Realizado!$AA$5:$AA$18,Realizado!$C$5:$C$18))</f>
        <v/>
      </c>
      <c r="H27" s="35" t="str">
        <f aca="false">IF($G27="","",SUM($G$5:$G27))</f>
        <v/>
      </c>
      <c r="I27" s="35" t="str">
        <f aca="false">IF($H27="","",$H27-$D27)</f>
        <v/>
      </c>
    </row>
    <row r="28" customFormat="false" ht="15" hidden="false" customHeight="false" outlineLevel="0" collapsed="false">
      <c r="A28" s="33" t="n">
        <v>24</v>
      </c>
      <c r="B28" s="34" t="n">
        <v>46193</v>
      </c>
      <c r="C28" s="35" t="n">
        <f aca="false">SUMPRODUCT('Previsto BL0'!$AB$5:$AB$18,'Previsto BL0'!$C$5:$C$18)</f>
        <v>0</v>
      </c>
      <c r="D28" s="35" t="n">
        <f aca="false">SUM($C$5:$C28)</f>
        <v>1</v>
      </c>
      <c r="E28" s="35" t="n">
        <f aca="false">SUMPRODUCT('Previsto BL1'!$AB$5:$AB$18,'Previsto BL1'!$C$5:$C$18)</f>
        <v>0</v>
      </c>
      <c r="F28" s="35" t="n">
        <f aca="false">SUM($E$5:$E28)</f>
        <v>0</v>
      </c>
      <c r="G28" s="35" t="str">
        <f aca="false">IF($B28&gt;Parâmetros!$B$11,"",SUMPRODUCT(Realizado!$AB$5:$AB$18,Realizado!$C$5:$C$18))</f>
        <v/>
      </c>
      <c r="H28" s="35" t="str">
        <f aca="false">IF($G28="","",SUM($G$5:$G28))</f>
        <v/>
      </c>
      <c r="I28" s="35" t="str">
        <f aca="false">IF($H28="","",$H28-$D28)</f>
        <v/>
      </c>
    </row>
    <row r="29" customFormat="false" ht="15" hidden="false" customHeight="false" outlineLevel="0" collapsed="false">
      <c r="A29" s="33" t="n">
        <v>25</v>
      </c>
      <c r="B29" s="34" t="n">
        <v>46200</v>
      </c>
      <c r="C29" s="35" t="n">
        <f aca="false">SUMPRODUCT('Previsto BL0'!$AC$5:$AC$18,'Previsto BL0'!$C$5:$C$18)</f>
        <v>0</v>
      </c>
      <c r="D29" s="35" t="n">
        <f aca="false">SUM($C$5:$C29)</f>
        <v>1</v>
      </c>
      <c r="E29" s="35" t="n">
        <f aca="false">SUMPRODUCT('Previsto BL1'!$AC$5:$AC$18,'Previsto BL1'!$C$5:$C$18)</f>
        <v>0</v>
      </c>
      <c r="F29" s="35" t="n">
        <f aca="false">SUM($E$5:$E29)</f>
        <v>0</v>
      </c>
      <c r="G29" s="35" t="str">
        <f aca="false">IF($B29&gt;Parâmetros!$B$11,"",SUMPRODUCT(Realizado!$AC$5:$AC$18,Realizado!$C$5:$C$18))</f>
        <v/>
      </c>
      <c r="H29" s="35" t="str">
        <f aca="false">IF($G29="","",SUM($G$5:$G29))</f>
        <v/>
      </c>
      <c r="I29" s="35" t="str">
        <f aca="false">IF($H29="","",$H29-$D29)</f>
        <v/>
      </c>
    </row>
    <row r="30" customFormat="false" ht="15" hidden="false" customHeight="false" outlineLevel="0" collapsed="false">
      <c r="A30" s="33" t="n">
        <v>26</v>
      </c>
      <c r="B30" s="34" t="n">
        <v>46207</v>
      </c>
      <c r="C30" s="35" t="n">
        <f aca="false">SUMPRODUCT('Previsto BL0'!$AD$5:$AD$18,'Previsto BL0'!$C$5:$C$18)</f>
        <v>0</v>
      </c>
      <c r="D30" s="35" t="n">
        <f aca="false">SUM($C$5:$C30)</f>
        <v>1</v>
      </c>
      <c r="E30" s="35" t="n">
        <f aca="false">SUMPRODUCT('Previsto BL1'!$AD$5:$AD$18,'Previsto BL1'!$C$5:$C$18)</f>
        <v>0</v>
      </c>
      <c r="F30" s="35" t="n">
        <f aca="false">SUM($E$5:$E30)</f>
        <v>0</v>
      </c>
      <c r="G30" s="35" t="str">
        <f aca="false">IF($B30&gt;Parâmetros!$B$11,"",SUMPRODUCT(Realizado!$AD$5:$AD$18,Realizado!$C$5:$C$18))</f>
        <v/>
      </c>
      <c r="H30" s="35" t="str">
        <f aca="false">IF($G30="","",SUM($G$5:$G30))</f>
        <v/>
      </c>
      <c r="I30" s="35" t="str">
        <f aca="false">IF($H30="","",$H30-$D30)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0" t="s">
        <v>37</v>
      </c>
      <c r="B4" s="10" t="s">
        <v>156</v>
      </c>
      <c r="C4" s="10" t="s">
        <v>42</v>
      </c>
      <c r="D4" s="10" t="s">
        <v>157</v>
      </c>
      <c r="E4" s="10" t="s">
        <v>158</v>
      </c>
      <c r="F4" s="10" t="s">
        <v>46</v>
      </c>
      <c r="G4" s="10" t="s">
        <v>45</v>
      </c>
      <c r="H4" s="10" t="s">
        <v>159</v>
      </c>
    </row>
    <row r="5" customFormat="false" ht="15" hidden="false" customHeight="false" outlineLevel="0" collapsed="false">
      <c r="A5" s="33" t="str">
        <f aca="false">EAP!A7</f>
        <v>1.1</v>
      </c>
      <c r="B5" s="33" t="s">
        <v>160</v>
      </c>
      <c r="C5" s="35" t="n">
        <f aca="false">EAP!F7</f>
        <v>0</v>
      </c>
      <c r="D5" s="35" t="n">
        <f aca="false">EAP!G7</f>
        <v>0</v>
      </c>
      <c r="E5" s="35" t="n">
        <f aca="false">EAP!H7</f>
        <v>0</v>
      </c>
      <c r="F5" s="35" t="n">
        <f aca="false">EAP!J7</f>
        <v>0</v>
      </c>
      <c r="G5" s="35" t="n">
        <f aca="false">EAP!I7</f>
        <v>0</v>
      </c>
      <c r="H5" s="33" t="str">
        <f aca="false">EAP!K7</f>
        <v>NÃO INICIADO</v>
      </c>
    </row>
    <row r="6" customFormat="false" ht="15" hidden="false" customHeight="false" outlineLevel="0" collapsed="false">
      <c r="A6" s="33" t="str">
        <f aca="false">EAP!A9</f>
        <v>1.2</v>
      </c>
      <c r="B6" s="33" t="s">
        <v>161</v>
      </c>
      <c r="C6" s="35" t="n">
        <f aca="false">EAP!F9</f>
        <v>0.08</v>
      </c>
      <c r="D6" s="35" t="n">
        <f aca="false">EAP!G9</f>
        <v>0.25</v>
      </c>
      <c r="E6" s="35" t="n">
        <f aca="false">EAP!H9</f>
        <v>0.225</v>
      </c>
      <c r="F6" s="35" t="n">
        <f aca="false">EAP!J9</f>
        <v>-0.025</v>
      </c>
      <c r="G6" s="35" t="n">
        <f aca="false">EAP!I9</f>
        <v>-0.1</v>
      </c>
      <c r="H6" s="33" t="str">
        <f aca="false">EAP!K9</f>
        <v>PLANO DE RECUPERAÇÃO</v>
      </c>
    </row>
    <row r="7" customFormat="false" ht="15" hidden="false" customHeight="false" outlineLevel="0" collapsed="false">
      <c r="A7" s="33" t="str">
        <f aca="false">EAP!A12</f>
        <v>1.3</v>
      </c>
      <c r="B7" s="33" t="s">
        <v>162</v>
      </c>
      <c r="C7" s="35" t="n">
        <f aca="false">EAP!F12</f>
        <v>0.47</v>
      </c>
      <c r="D7" s="35" t="n">
        <f aca="false">EAP!G12</f>
        <v>0.25</v>
      </c>
      <c r="E7" s="35" t="n">
        <f aca="false">EAP!H12</f>
        <v>0.225</v>
      </c>
      <c r="F7" s="35" t="n">
        <f aca="false">EAP!J12</f>
        <v>-0.025</v>
      </c>
      <c r="G7" s="35" t="n">
        <f aca="false">EAP!I12</f>
        <v>-0.1</v>
      </c>
      <c r="H7" s="33" t="str">
        <f aca="false">EAP!K12</f>
        <v>PLANO DE RECUPERAÇÃO</v>
      </c>
    </row>
    <row r="8" customFormat="false" ht="15" hidden="false" customHeight="false" outlineLevel="0" collapsed="false">
      <c r="A8" s="33" t="str">
        <f aca="false">EAP!A16</f>
        <v>1.4</v>
      </c>
      <c r="B8" s="33" t="s">
        <v>163</v>
      </c>
      <c r="C8" s="35" t="n">
        <f aca="false">EAP!F16</f>
        <v>0.15</v>
      </c>
      <c r="D8" s="35" t="n">
        <f aca="false">EAP!G16</f>
        <v>0.25</v>
      </c>
      <c r="E8" s="35" t="n">
        <f aca="false">EAP!H16</f>
        <v>0.225</v>
      </c>
      <c r="F8" s="35" t="n">
        <f aca="false">EAP!J16</f>
        <v>-0.025</v>
      </c>
      <c r="G8" s="35" t="n">
        <f aca="false">EAP!I16</f>
        <v>-0.1</v>
      </c>
      <c r="H8" s="33" t="str">
        <f aca="false">EAP!K16</f>
        <v>PLANO DE RECUPERAÇÃO</v>
      </c>
    </row>
    <row r="9" customFormat="false" ht="15" hidden="false" customHeight="false" outlineLevel="0" collapsed="false">
      <c r="A9" s="33" t="str">
        <f aca="false">EAP!A20</f>
        <v>1.5</v>
      </c>
      <c r="B9" s="33" t="s">
        <v>164</v>
      </c>
      <c r="C9" s="35" t="n">
        <f aca="false">EAP!F20</f>
        <v>0.25</v>
      </c>
      <c r="D9" s="35" t="n">
        <f aca="false">EAP!G20</f>
        <v>0.25</v>
      </c>
      <c r="E9" s="35" t="n">
        <f aca="false">EAP!H20</f>
        <v>0.225</v>
      </c>
      <c r="F9" s="35" t="n">
        <f aca="false">EAP!J20</f>
        <v>-0.025</v>
      </c>
      <c r="G9" s="35" t="n">
        <f aca="false">EAP!I20</f>
        <v>-0.1</v>
      </c>
      <c r="H9" s="33" t="str">
        <f aca="false">EAP!K20</f>
        <v>PLANO DE RECUPERAÇÃO</v>
      </c>
    </row>
    <row r="10" customFormat="false" ht="15" hidden="false" customHeight="false" outlineLevel="0" collapsed="false">
      <c r="A10" s="33" t="str">
        <f aca="false">EAP!A24</f>
        <v>1.6</v>
      </c>
      <c r="B10" s="33" t="s">
        <v>165</v>
      </c>
      <c r="C10" s="35" t="n">
        <f aca="false">EAP!F24</f>
        <v>0.05</v>
      </c>
      <c r="D10" s="35" t="n">
        <f aca="false">EAP!G24</f>
        <v>0.25</v>
      </c>
      <c r="E10" s="35" t="n">
        <f aca="false">EAP!H24</f>
        <v>0.225</v>
      </c>
      <c r="F10" s="35" t="n">
        <f aca="false">EAP!J24</f>
        <v>-0.025</v>
      </c>
      <c r="G10" s="35" t="n">
        <f aca="false">EAP!I24</f>
        <v>-0.1</v>
      </c>
      <c r="H10" s="33" t="str">
        <f aca="false">EAP!K24</f>
        <v>PLANO DE RECUPERAÇÃO</v>
      </c>
    </row>
    <row r="12" customFormat="false" ht="15" hidden="false" customHeight="false" outlineLevel="0" collapsed="false">
      <c r="B12" s="26" t="s">
        <v>166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2026-09-18T12:08:52Z</dcterms:created>
  <dc:creator>openpyxl</dc:creator>
  <dc:description/>
  <dc:language>en-US</dc:language>
  <cp:lastModifiedBy/>
  <dcterms:modified xsi:type="dcterms:W3CDTF">2026-09-18T12:08:53Z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