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LV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2D3336"/>
      <sz val="9"/>
    </font>
    <font>
      <name val="Arial"/>
      <b val="1"/>
      <color rgb="002D3336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2D3336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D3336"/>
      </patternFill>
    </fill>
    <fill>
      <patternFill patternType="solid">
        <fgColor rgb="00EDEFF0"/>
      </patternFill>
    </fill>
  </fills>
  <borders count="2">
    <border>
      <left/>
      <right/>
      <top/>
      <bottom/>
      <diagonal/>
    </border>
    <border>
      <left style="thin">
        <color rgb="00B7BCBF"/>
      </left>
      <right style="thin">
        <color rgb="00B7BCBF"/>
      </right>
      <top style="thin">
        <color rgb="00B7BCBF"/>
      </top>
      <bottom style="thin">
        <color rgb="00B7BC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2" borderId="1" pivotButton="0" quotePrefix="0" xfId="0"/>
    <xf numFmtId="164" fontId="5" fillId="2" borderId="1" pivotButton="0" quotePrefix="0" xfId="0"/>
    <xf numFmtId="3" fontId="5" fillId="2" borderId="1" pivotButton="0" quotePrefix="0" xfId="0"/>
    <xf numFmtId="0" fontId="8" fillId="3" borderId="1" pivotButton="0" quotePrefix="0" xfId="0"/>
    <xf numFmtId="164" fontId="8" fillId="3" borderId="1" pivotButton="0" quotePrefix="0" xfId="0"/>
    <xf numFmtId="3" fontId="8" fillId="3" borderId="1" pivotButton="0" quotePrefix="0" xfId="0"/>
    <xf numFmtId="0" fontId="9" fillId="0" borderId="1" pivotButton="0" quotePrefix="0" xfId="0"/>
    <xf numFmtId="164" fontId="9" fillId="0" borderId="1" pivotButton="0" quotePrefix="0" xfId="0"/>
    <xf numFmtId="3" fontId="9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3" fontId="8" fillId="0" borderId="1" pivotButton="0" quotePrefix="0" xfId="0"/>
    <xf numFmtId="0" fontId="10" fillId="0" borderId="1" pivotButton="0" quotePrefix="0" xfId="0"/>
    <xf numFmtId="164" fontId="10" fillId="0" borderId="1" pivotButton="0" quotePrefix="0" xfId="0"/>
    <xf numFmtId="0" fontId="11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5" fontId="7" fillId="0" borderId="1" pivotButton="0" quotePrefix="0" xfId="0"/>
    <xf numFmtId="165" fontId="6" fillId="0" borderId="1" pivotButton="0" quotePrefix="0" xfId="0"/>
    <xf numFmtId="0" fontId="12" fillId="0" borderId="0" pivotButton="0" quotePrefix="0" xfId="0"/>
    <xf numFmtId="165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 ht="26" customHeight="1">
      <c r="A1" s="1" t="inlineStr">
        <is>
          <t>GPS-PLN-ANX-IV — MÁSCARA DE CRONOGRAMA</t>
        </is>
      </c>
    </row>
    <row r="2">
      <c r="A2" s="2" t="inlineStr">
        <is>
          <t>GPlanSiS|Planejamento · anexo do PRO-GPS-PLN-001 · rev. 0</t>
        </is>
      </c>
    </row>
    <row r="4">
      <c r="A4" s="3" t="inlineStr">
        <is>
          <t>O QUE É</t>
        </is>
      </c>
    </row>
    <row r="5">
      <c r="A5" s="4" t="inlineStr">
        <is>
          <t>Máscara de cronograma em planilha, pronta para importação no MS Project ou no Primavera P6, com a estrutura de níveis 1 a 7, os campos obrigatórios e a ponderação em 1.000.000 de pontos.</t>
        </is>
      </c>
    </row>
    <row r="6">
      <c r="A6" s="4" t="inlineStr"/>
    </row>
    <row r="7">
      <c r="A7" s="3" t="inlineStr">
        <is>
          <t>COMO IMPORTAR NO MS PROJECT</t>
        </is>
      </c>
    </row>
    <row r="8">
      <c r="A8" s="4" t="inlineStr">
        <is>
          <t>1. Abra o MS Project, Arquivo &gt; Abrir &gt; selecione esta planilha e escolha o Assistente de Importação.</t>
        </is>
      </c>
    </row>
    <row r="9">
      <c r="A9" s="4" t="inlineStr">
        <is>
          <t>2. Mapeie: EDT &gt; EDT, Nome da tarefa &gt; Nome, Duração &gt; Duração, Predecessoras &gt; Predecessoras, Tipo de restrição &gt; Tipo de restrição.</t>
        </is>
      </c>
    </row>
    <row r="10">
      <c r="A10" s="4" t="inlineStr">
        <is>
          <t>3. Crie o recurso material 'Peso', taxa padrão R$ 1,00, e atribua os pontos da coluna PONTOS como custo da atribuição.</t>
        </is>
      </c>
    </row>
    <row r="11">
      <c r="A11" s="4" t="inlineStr">
        <is>
          <t>4. Configure todas as tarefas como Duração fixa, não controladas pelo empenho, restrição 'O mais breve possível'.</t>
        </is>
      </c>
    </row>
    <row r="12">
      <c r="A12" s="4" t="inlineStr">
        <is>
          <t>5. Salve a linha de base somente após a aprovação pela LVP.</t>
        </is>
      </c>
    </row>
    <row r="13">
      <c r="A13" s="4" t="inlineStr"/>
    </row>
    <row r="14">
      <c r="A14" s="3" t="inlineStr">
        <is>
          <t>CONFIGURAÇÃO OBRIGATÓRIA (item 9 do procedimento)</t>
        </is>
      </c>
    </row>
    <row r="16">
      <c r="A16" s="5" t="inlineStr">
        <is>
          <t>PARÂMETRO</t>
        </is>
      </c>
      <c r="B16" s="5" t="inlineStr">
        <is>
          <t>VALOR EXIGIDO</t>
        </is>
      </c>
    </row>
    <row r="17">
      <c r="A17" s="6" t="inlineStr">
        <is>
          <t>Calendário</t>
        </is>
      </c>
      <c r="B17" s="7" t="inlineStr">
        <is>
          <t>Dias corridos, 8 h/dia, semana de domingo a sábado; calendário específico para construção quando aplicável</t>
        </is>
      </c>
    </row>
    <row r="18">
      <c r="A18" s="6" t="inlineStr">
        <is>
          <t>Data de corte</t>
        </is>
      </c>
      <c r="B18" s="7" t="inlineStr">
        <is>
          <t>Sábado, 23h59</t>
        </is>
      </c>
    </row>
    <row r="19">
      <c r="A19" s="6" t="inlineStr">
        <is>
          <t>Unidade de duração</t>
        </is>
      </c>
      <c r="B19" s="7" t="inlineStr">
        <is>
          <t>Dias úteis (horas no cronograma de parada)</t>
        </is>
      </c>
    </row>
    <row r="20">
      <c r="A20" s="6" t="inlineStr">
        <is>
          <t>Duração máxima da atividade</t>
        </is>
      </c>
      <c r="B20" s="7" t="inlineStr">
        <is>
          <t>15 dias</t>
        </is>
      </c>
    </row>
    <row r="21">
      <c r="A21" s="6" t="inlineStr">
        <is>
          <t>Latência máxima</t>
        </is>
      </c>
      <c r="B21" s="7" t="inlineStr">
        <is>
          <t>21 dias; LAG negativo proibido</t>
        </is>
      </c>
    </row>
    <row r="22">
      <c r="A22" s="6" t="inlineStr">
        <is>
          <t>Tipo de tarefa</t>
        </is>
      </c>
      <c r="B22" s="7" t="inlineStr">
        <is>
          <t>Duração fixa, não controlada pelo empenho</t>
        </is>
      </c>
    </row>
    <row r="23">
      <c r="A23" s="6" t="inlineStr">
        <is>
          <t>Restrição padrão</t>
        </is>
      </c>
      <c r="B23" s="7" t="inlineStr">
        <is>
          <t>O mais breve possível</t>
        </is>
      </c>
    </row>
    <row r="24">
      <c r="A24" s="6" t="inlineStr">
        <is>
          <t>Método de valor agregado</t>
        </is>
      </c>
      <c r="B24" s="7" t="inlineStr">
        <is>
          <t>% concluída (Project) / Physical % Complete (P6)</t>
        </is>
      </c>
    </row>
    <row r="25">
      <c r="A25" s="6" t="inlineStr">
        <is>
          <t>Ponderador</t>
        </is>
      </c>
      <c r="B25" s="7" t="inlineStr">
        <is>
          <t>Recurso material 'Peso', R$ 1,00, somando 1.000.000 no custo da linha de base</t>
        </is>
      </c>
    </row>
    <row r="26">
      <c r="A26" s="6" t="inlineStr">
        <is>
          <t>Milestones</t>
        </is>
      </c>
      <c r="B26" s="7" t="inlineStr">
        <is>
          <t>Duração zero e peso zero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4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2" customWidth="1" min="10" max="10"/>
    <col width="14" customWidth="1" min="11" max="11"/>
    <col width="18" customWidth="1" min="12" max="12"/>
  </cols>
  <sheetData>
    <row r="1" ht="26" customHeight="1">
      <c r="A1" s="1" t="inlineStr">
        <is>
          <t>MÁSCARA DE CRONOGRAMA — NÍVEIS 1 A 7</t>
        </is>
      </c>
    </row>
    <row r="2">
      <c r="A2" s="2" t="inlineStr">
        <is>
          <t>Preencher as células azuis · uma linha por atividade</t>
        </is>
      </c>
    </row>
    <row r="4">
      <c r="A4" s="5" t="inlineStr">
        <is>
          <t>ID</t>
        </is>
      </c>
      <c r="B4" s="5" t="inlineStr">
        <is>
          <t>EDT</t>
        </is>
      </c>
      <c r="C4" s="5" t="inlineStr">
        <is>
          <t>NÍVEL</t>
        </is>
      </c>
      <c r="D4" s="5" t="inlineStr">
        <is>
          <t>NOME DA TAREFA</t>
        </is>
      </c>
      <c r="E4" s="5" t="inlineStr">
        <is>
          <t>TIPO</t>
        </is>
      </c>
      <c r="F4" s="5" t="inlineStr">
        <is>
          <t>DURAÇÃO (d)</t>
        </is>
      </c>
      <c r="G4" s="5" t="inlineStr">
        <is>
          <t>INÍCIO</t>
        </is>
      </c>
      <c r="H4" s="5" t="inlineStr">
        <is>
          <t>TÉRMINO</t>
        </is>
      </c>
      <c r="I4" s="5" t="inlineStr">
        <is>
          <t>PREDECESSORAS</t>
        </is>
      </c>
      <c r="J4" s="5" t="inlineStr">
        <is>
          <t>TIPO DE RESTRIÇÃO</t>
        </is>
      </c>
      <c r="K4" s="5" t="inlineStr">
        <is>
          <t>PONTOS (PESO)</t>
        </is>
      </c>
      <c r="L4" s="5" t="inlineStr">
        <is>
          <t>RESPONSÁVEL</t>
        </is>
      </c>
    </row>
    <row r="5">
      <c r="A5" s="8" t="n">
        <v>1</v>
      </c>
      <c r="B5" s="8" t="inlineStr">
        <is>
          <t>1</t>
        </is>
      </c>
      <c r="C5" s="8" t="n">
        <v>1</v>
      </c>
      <c r="D5" s="8" t="inlineStr">
        <is>
          <t>ÁREA 100 — EXEMPLO</t>
        </is>
      </c>
      <c r="E5" s="8" t="inlineStr">
        <is>
          <t>Resumo</t>
        </is>
      </c>
      <c r="F5" s="8" t="n"/>
      <c r="G5" s="9" t="n"/>
      <c r="H5" s="9" t="n"/>
      <c r="I5" s="8" t="n"/>
      <c r="J5" s="8" t="n"/>
      <c r="K5" s="10" t="n"/>
      <c r="L5" s="8" t="n"/>
    </row>
    <row r="6">
      <c r="A6" s="11" t="n">
        <v>2</v>
      </c>
      <c r="B6" s="11" t="inlineStr">
        <is>
          <t>1.1</t>
        </is>
      </c>
      <c r="C6" s="11" t="n">
        <v>2</v>
      </c>
      <c r="D6" s="11" t="inlineStr">
        <is>
          <t xml:space="preserve">    MILESTONES</t>
        </is>
      </c>
      <c r="E6" s="11" t="inlineStr">
        <is>
          <t>Resumo</t>
        </is>
      </c>
      <c r="F6" s="11" t="n"/>
      <c r="G6" s="12" t="n"/>
      <c r="H6" s="12" t="n"/>
      <c r="I6" s="11" t="n"/>
      <c r="J6" s="11" t="n"/>
      <c r="K6" s="13" t="n"/>
      <c r="L6" s="11" t="n"/>
    </row>
    <row r="7">
      <c r="A7" s="14" t="n">
        <v>3</v>
      </c>
      <c r="B7" s="14" t="inlineStr">
        <is>
          <t>1.1.1</t>
        </is>
      </c>
      <c r="C7" s="14" t="n">
        <v>3</v>
      </c>
      <c r="D7" s="14" t="inlineStr">
        <is>
          <t xml:space="preserve">        Notificação de início — data zero</t>
        </is>
      </c>
      <c r="E7" s="14" t="inlineStr">
        <is>
          <t>Marco</t>
        </is>
      </c>
      <c r="F7" s="14" t="n"/>
      <c r="G7" s="15" t="n"/>
      <c r="H7" s="15" t="n"/>
      <c r="I7" s="14" t="n"/>
      <c r="J7" s="14" t="n"/>
      <c r="K7" s="16" t="n">
        <v>0</v>
      </c>
      <c r="L7" s="14" t="n"/>
    </row>
    <row r="8">
      <c r="A8" s="14" t="n">
        <v>4</v>
      </c>
      <c r="B8" s="14" t="inlineStr">
        <is>
          <t>1.1.2</t>
        </is>
      </c>
      <c r="C8" s="14" t="n">
        <v>3</v>
      </c>
      <c r="D8" s="14" t="inlineStr">
        <is>
          <t xml:space="preserve">        Liberação das bases civis</t>
        </is>
      </c>
      <c r="E8" s="14" t="inlineStr">
        <is>
          <t>Marco</t>
        </is>
      </c>
      <c r="F8" s="14" t="n"/>
      <c r="G8" s="15" t="n"/>
      <c r="H8" s="15" t="n"/>
      <c r="I8" s="14" t="n"/>
      <c r="J8" s="14" t="n"/>
      <c r="K8" s="16" t="n">
        <v>0</v>
      </c>
      <c r="L8" s="14" t="n"/>
    </row>
    <row r="9">
      <c r="A9" s="14" t="n">
        <v>5</v>
      </c>
      <c r="B9" s="14" t="inlineStr">
        <is>
          <t>1.1.3</t>
        </is>
      </c>
      <c r="C9" s="14" t="n">
        <v>3</v>
      </c>
      <c r="D9" s="14" t="inlineStr">
        <is>
          <t xml:space="preserve">        Entrega dos equipamentos principais</t>
        </is>
      </c>
      <c r="E9" s="14" t="inlineStr">
        <is>
          <t>Marco</t>
        </is>
      </c>
      <c r="F9" s="14" t="n"/>
      <c r="G9" s="15" t="n"/>
      <c r="H9" s="15" t="n"/>
      <c r="I9" s="14" t="n"/>
      <c r="J9" s="14" t="n"/>
      <c r="K9" s="16" t="n">
        <v>0</v>
      </c>
      <c r="L9" s="14" t="n"/>
    </row>
    <row r="10">
      <c r="A10" s="14" t="n">
        <v>6</v>
      </c>
      <c r="B10" s="14" t="inlineStr">
        <is>
          <t>1.1.4</t>
        </is>
      </c>
      <c r="C10" s="14" t="n">
        <v>3</v>
      </c>
      <c r="D10" s="14" t="inlineStr">
        <is>
          <t xml:space="preserve">        Conclusão da montagem mecânica</t>
        </is>
      </c>
      <c r="E10" s="14" t="inlineStr">
        <is>
          <t>Marco</t>
        </is>
      </c>
      <c r="F10" s="14" t="n"/>
      <c r="G10" s="15" t="n"/>
      <c r="H10" s="15" t="n"/>
      <c r="I10" s="14" t="n"/>
      <c r="J10" s="14" t="n"/>
      <c r="K10" s="16" t="n">
        <v>0</v>
      </c>
      <c r="L10" s="14" t="n"/>
    </row>
    <row r="11">
      <c r="A11" s="14" t="n">
        <v>7</v>
      </c>
      <c r="B11" s="14" t="inlineStr">
        <is>
          <t>1.1.5</t>
        </is>
      </c>
      <c r="C11" s="14" t="n">
        <v>3</v>
      </c>
      <c r="D11" s="14" t="inlineStr">
        <is>
          <t xml:space="preserve">        Aceitação provisória</t>
        </is>
      </c>
      <c r="E11" s="14" t="inlineStr">
        <is>
          <t>Marco</t>
        </is>
      </c>
      <c r="F11" s="14" t="n"/>
      <c r="G11" s="15" t="n"/>
      <c r="H11" s="15" t="n"/>
      <c r="I11" s="14" t="n"/>
      <c r="J11" s="14" t="n"/>
      <c r="K11" s="16" t="n">
        <v>0</v>
      </c>
      <c r="L11" s="14" t="n"/>
    </row>
    <row r="12">
      <c r="A12" s="11" t="n">
        <v>8</v>
      </c>
      <c r="B12" s="11" t="inlineStr">
        <is>
          <t>1.2</t>
        </is>
      </c>
      <c r="C12" s="11" t="n">
        <v>2</v>
      </c>
      <c r="D12" s="11" t="inlineStr">
        <is>
          <t xml:space="preserve">    ENGENHARIA</t>
        </is>
      </c>
      <c r="E12" s="11" t="inlineStr">
        <is>
          <t>Resumo</t>
        </is>
      </c>
      <c r="F12" s="11" t="n"/>
      <c r="G12" s="12" t="n"/>
      <c r="H12" s="12" t="n"/>
      <c r="I12" s="11" t="n"/>
      <c r="J12" s="11" t="n"/>
      <c r="K12" s="13" t="n"/>
      <c r="L12" s="11" t="n"/>
    </row>
    <row r="13">
      <c r="A13" s="17" t="n">
        <v>9</v>
      </c>
      <c r="B13" s="17" t="inlineStr">
        <is>
          <t>1.2.1</t>
        </is>
      </c>
      <c r="C13" s="17" t="n">
        <v>3</v>
      </c>
      <c r="D13" s="17" t="inlineStr">
        <is>
          <t xml:space="preserve">        Engenharia básica</t>
        </is>
      </c>
      <c r="E13" s="17" t="inlineStr">
        <is>
          <t>Resumo</t>
        </is>
      </c>
      <c r="F13" s="17" t="n"/>
      <c r="G13" s="18" t="n"/>
      <c r="H13" s="18" t="n"/>
      <c r="I13" s="17" t="n"/>
      <c r="J13" s="17" t="n"/>
      <c r="K13" s="19" t="n"/>
      <c r="L13" s="17" t="n"/>
    </row>
    <row r="14">
      <c r="A14" s="14" t="n">
        <v>10</v>
      </c>
      <c r="B14" s="14" t="inlineStr">
        <is>
          <t>1.2.1.1</t>
        </is>
      </c>
      <c r="C14" s="14" t="n">
        <v>4</v>
      </c>
      <c r="D14" s="14" t="inlineStr">
        <is>
          <t xml:space="preserve">            Fluxogramas de processo e P&amp;ID</t>
        </is>
      </c>
      <c r="E14" s="14" t="inlineStr">
        <is>
          <t>Atividade</t>
        </is>
      </c>
      <c r="F14" s="20" t="n">
        <v>15</v>
      </c>
      <c r="G14" s="21" t="n"/>
      <c r="H14" s="21" t="n"/>
      <c r="I14" s="20" t="inlineStr">
        <is>
          <t>3</t>
        </is>
      </c>
      <c r="J14" s="14" t="inlineStr">
        <is>
          <t>O mais breve possível</t>
        </is>
      </c>
      <c r="K14" s="16" t="n">
        <v>50000</v>
      </c>
      <c r="L14" s="20" t="n"/>
    </row>
    <row r="15">
      <c r="A15" s="14" t="n">
        <v>11</v>
      </c>
      <c r="B15" s="14" t="inlineStr">
        <is>
          <t>1.2.1.2</t>
        </is>
      </c>
      <c r="C15" s="14" t="n">
        <v>4</v>
      </c>
      <c r="D15" s="14" t="inlineStr">
        <is>
          <t xml:space="preserve">            Listas de equipamentos e in/out flows</t>
        </is>
      </c>
      <c r="E15" s="14" t="inlineStr">
        <is>
          <t>Atividade</t>
        </is>
      </c>
      <c r="F15" s="20" t="n">
        <v>10</v>
      </c>
      <c r="G15" s="21" t="n"/>
      <c r="H15" s="21" t="n"/>
      <c r="I15" s="20" t="inlineStr">
        <is>
          <t>10</t>
        </is>
      </c>
      <c r="J15" s="14" t="inlineStr">
        <is>
          <t>O mais breve possível</t>
        </is>
      </c>
      <c r="K15" s="16" t="n">
        <v>50000</v>
      </c>
      <c r="L15" s="20" t="n"/>
    </row>
    <row r="16">
      <c r="A16" s="17" t="n">
        <v>12</v>
      </c>
      <c r="B16" s="17" t="inlineStr">
        <is>
          <t>1.2.2</t>
        </is>
      </c>
      <c r="C16" s="17" t="n">
        <v>3</v>
      </c>
      <c r="D16" s="17" t="inlineStr">
        <is>
          <t xml:space="preserve">        Engenharia de detalhamento</t>
        </is>
      </c>
      <c r="E16" s="17" t="inlineStr">
        <is>
          <t>Resumo</t>
        </is>
      </c>
      <c r="F16" s="17" t="n"/>
      <c r="G16" s="18" t="n"/>
      <c r="H16" s="18" t="n"/>
      <c r="I16" s="17" t="n"/>
      <c r="J16" s="17" t="n"/>
      <c r="K16" s="19" t="n"/>
      <c r="L16" s="17" t="n"/>
    </row>
    <row r="17">
      <c r="A17" s="14" t="n">
        <v>13</v>
      </c>
      <c r="B17" s="14" t="inlineStr">
        <is>
          <t>1.2.2.1</t>
        </is>
      </c>
      <c r="C17" s="14" t="n">
        <v>4</v>
      </c>
      <c r="D17" s="14" t="inlineStr">
        <is>
          <t xml:space="preserve">            Isométricos de tubulação</t>
        </is>
      </c>
      <c r="E17" s="14" t="inlineStr">
        <is>
          <t>Atividade</t>
        </is>
      </c>
      <c r="F17" s="20" t="n">
        <v>15</v>
      </c>
      <c r="G17" s="21" t="n"/>
      <c r="H17" s="21" t="n"/>
      <c r="I17" s="20" t="inlineStr">
        <is>
          <t>11</t>
        </is>
      </c>
      <c r="J17" s="14" t="inlineStr">
        <is>
          <t>O mais breve possível</t>
        </is>
      </c>
      <c r="K17" s="16" t="n">
        <v>50000</v>
      </c>
      <c r="L17" s="20" t="n"/>
    </row>
    <row r="18">
      <c r="A18" s="14" t="n">
        <v>14</v>
      </c>
      <c r="B18" s="14" t="inlineStr">
        <is>
          <t>1.2.2.2</t>
        </is>
      </c>
      <c r="C18" s="14" t="n">
        <v>4</v>
      </c>
      <c r="D18" s="14" t="inlineStr">
        <is>
          <t xml:space="preserve">            Diagramas unifilares e de controle</t>
        </is>
      </c>
      <c r="E18" s="14" t="inlineStr">
        <is>
          <t>Atividade</t>
        </is>
      </c>
      <c r="F18" s="20" t="n">
        <v>15</v>
      </c>
      <c r="G18" s="21" t="n"/>
      <c r="H18" s="21" t="n"/>
      <c r="I18" s="20" t="inlineStr">
        <is>
          <t>11</t>
        </is>
      </c>
      <c r="J18" s="14" t="inlineStr">
        <is>
          <t>O mais breve possível</t>
        </is>
      </c>
      <c r="K18" s="16" t="n">
        <v>50000</v>
      </c>
      <c r="L18" s="20" t="n"/>
    </row>
    <row r="19">
      <c r="A19" s="11" t="n">
        <v>15</v>
      </c>
      <c r="B19" s="11" t="inlineStr">
        <is>
          <t>1.3</t>
        </is>
      </c>
      <c r="C19" s="11" t="n">
        <v>2</v>
      </c>
      <c r="D19" s="11" t="inlineStr">
        <is>
          <t xml:space="preserve">    SUPRIMENTOS &amp; MANUFATURA</t>
        </is>
      </c>
      <c r="E19" s="11" t="inlineStr">
        <is>
          <t>Resumo</t>
        </is>
      </c>
      <c r="F19" s="11" t="n"/>
      <c r="G19" s="12" t="n"/>
      <c r="H19" s="12" t="n"/>
      <c r="I19" s="11" t="n"/>
      <c r="J19" s="11" t="n"/>
      <c r="K19" s="13" t="n"/>
      <c r="L19" s="11" t="n"/>
    </row>
    <row r="20">
      <c r="A20" s="14" t="n">
        <v>16</v>
      </c>
      <c r="B20" s="14" t="inlineStr">
        <is>
          <t>1.3.1</t>
        </is>
      </c>
      <c r="C20" s="14" t="n">
        <v>3</v>
      </c>
      <c r="D20" s="14" t="inlineStr">
        <is>
          <t xml:space="preserve">        Aquisição de equipamentos principais</t>
        </is>
      </c>
      <c r="E20" s="14" t="inlineStr">
        <is>
          <t>Atividade</t>
        </is>
      </c>
      <c r="F20" s="20" t="n">
        <v>15</v>
      </c>
      <c r="G20" s="21" t="n"/>
      <c r="H20" s="21" t="n"/>
      <c r="I20" s="20" t="inlineStr">
        <is>
          <t>13</t>
        </is>
      </c>
      <c r="J20" s="14" t="inlineStr">
        <is>
          <t>O mais breve possível</t>
        </is>
      </c>
      <c r="K20" s="16" t="n">
        <v>50000</v>
      </c>
      <c r="L20" s="20" t="n"/>
    </row>
    <row r="21">
      <c r="A21" s="14" t="n">
        <v>17</v>
      </c>
      <c r="B21" s="14" t="inlineStr">
        <is>
          <t>1.3.2</t>
        </is>
      </c>
      <c r="C21" s="14" t="n">
        <v>3</v>
      </c>
      <c r="D21" s="14" t="inlineStr">
        <is>
          <t xml:space="preserve">        Fabricação</t>
        </is>
      </c>
      <c r="E21" s="14" t="inlineStr">
        <is>
          <t>Atividade</t>
        </is>
      </c>
      <c r="F21" s="20" t="n">
        <v>15</v>
      </c>
      <c r="G21" s="21" t="n"/>
      <c r="H21" s="21" t="n"/>
      <c r="I21" s="20" t="inlineStr">
        <is>
          <t>16</t>
        </is>
      </c>
      <c r="J21" s="14" t="inlineStr">
        <is>
          <t>O mais breve possível</t>
        </is>
      </c>
      <c r="K21" s="16" t="n">
        <v>50000</v>
      </c>
      <c r="L21" s="20" t="n"/>
    </row>
    <row r="22">
      <c r="A22" s="14" t="n">
        <v>18</v>
      </c>
      <c r="B22" s="14" t="inlineStr">
        <is>
          <t>1.3.3</t>
        </is>
      </c>
      <c r="C22" s="14" t="n">
        <v>3</v>
      </c>
      <c r="D22" s="14" t="inlineStr">
        <is>
          <t xml:space="preserve">        Transporte e entrega na obra</t>
        </is>
      </c>
      <c r="E22" s="14" t="inlineStr">
        <is>
          <t>Atividade</t>
        </is>
      </c>
      <c r="F22" s="20" t="n">
        <v>10</v>
      </c>
      <c r="G22" s="21" t="n"/>
      <c r="H22" s="21" t="n"/>
      <c r="I22" s="20" t="inlineStr">
        <is>
          <t>17</t>
        </is>
      </c>
      <c r="J22" s="14" t="inlineStr">
        <is>
          <t>O mais breve possível</t>
        </is>
      </c>
      <c r="K22" s="16" t="n">
        <v>50000</v>
      </c>
      <c r="L22" s="20" t="n"/>
    </row>
    <row r="23">
      <c r="A23" s="11" t="n">
        <v>19</v>
      </c>
      <c r="B23" s="11" t="inlineStr">
        <is>
          <t>1.4</t>
        </is>
      </c>
      <c r="C23" s="11" t="n">
        <v>2</v>
      </c>
      <c r="D23" s="11" t="inlineStr">
        <is>
          <t xml:space="preserve">    CONSTRUÇÃO CIVIL</t>
        </is>
      </c>
      <c r="E23" s="11" t="inlineStr">
        <is>
          <t>Resumo</t>
        </is>
      </c>
      <c r="F23" s="11" t="n"/>
      <c r="G23" s="12" t="n"/>
      <c r="H23" s="12" t="n"/>
      <c r="I23" s="11" t="n"/>
      <c r="J23" s="11" t="n"/>
      <c r="K23" s="13" t="n"/>
      <c r="L23" s="11" t="n"/>
    </row>
    <row r="24">
      <c r="A24" s="14" t="n">
        <v>20</v>
      </c>
      <c r="B24" s="14" t="inlineStr">
        <is>
          <t>1.4.1</t>
        </is>
      </c>
      <c r="C24" s="14" t="n">
        <v>3</v>
      </c>
      <c r="D24" s="14" t="inlineStr">
        <is>
          <t xml:space="preserve">        Mobilização e terraplanagem</t>
        </is>
      </c>
      <c r="E24" s="14" t="inlineStr">
        <is>
          <t>Atividade</t>
        </is>
      </c>
      <c r="F24" s="20" t="n">
        <v>15</v>
      </c>
      <c r="G24" s="21" t="n"/>
      <c r="H24" s="21" t="n"/>
      <c r="I24" s="20" t="inlineStr">
        <is>
          <t>6</t>
        </is>
      </c>
      <c r="J24" s="14" t="inlineStr">
        <is>
          <t>O mais breve possível</t>
        </is>
      </c>
      <c r="K24" s="16" t="n">
        <v>50000</v>
      </c>
      <c r="L24" s="20" t="n"/>
    </row>
    <row r="25">
      <c r="A25" s="14" t="n">
        <v>21</v>
      </c>
      <c r="B25" s="14" t="inlineStr">
        <is>
          <t>1.4.2</t>
        </is>
      </c>
      <c r="C25" s="14" t="n">
        <v>3</v>
      </c>
      <c r="D25" s="14" t="inlineStr">
        <is>
          <t xml:space="preserve">        Fundações e estruturas</t>
        </is>
      </c>
      <c r="E25" s="14" t="inlineStr">
        <is>
          <t>Atividade</t>
        </is>
      </c>
      <c r="F25" s="20" t="n">
        <v>15</v>
      </c>
      <c r="G25" s="21" t="n"/>
      <c r="H25" s="21" t="n"/>
      <c r="I25" s="20" t="inlineStr">
        <is>
          <t>20</t>
        </is>
      </c>
      <c r="J25" s="14" t="inlineStr">
        <is>
          <t>O mais breve possível</t>
        </is>
      </c>
      <c r="K25" s="16" t="n">
        <v>50000</v>
      </c>
      <c r="L25" s="20" t="n"/>
    </row>
    <row r="26">
      <c r="A26" s="11" t="n">
        <v>22</v>
      </c>
      <c r="B26" s="11" t="inlineStr">
        <is>
          <t>1.5</t>
        </is>
      </c>
      <c r="C26" s="11" t="n">
        <v>2</v>
      </c>
      <c r="D26" s="11" t="inlineStr">
        <is>
          <t xml:space="preserve">    MONTAGEM ELETROMECÂNICA</t>
        </is>
      </c>
      <c r="E26" s="11" t="inlineStr">
        <is>
          <t>Resumo</t>
        </is>
      </c>
      <c r="F26" s="11" t="n"/>
      <c r="G26" s="12" t="n"/>
      <c r="H26" s="12" t="n"/>
      <c r="I26" s="11" t="n"/>
      <c r="J26" s="11" t="n"/>
      <c r="K26" s="13" t="n"/>
      <c r="L26" s="11" t="n"/>
    </row>
    <row r="27">
      <c r="A27" s="14" t="n">
        <v>23</v>
      </c>
      <c r="B27" s="14" t="inlineStr">
        <is>
          <t>1.5.1</t>
        </is>
      </c>
      <c r="C27" s="14" t="n">
        <v>3</v>
      </c>
      <c r="D27" s="14" t="inlineStr">
        <is>
          <t xml:space="preserve">        Montagem de equipamentos</t>
        </is>
      </c>
      <c r="E27" s="14" t="inlineStr">
        <is>
          <t>Atividade</t>
        </is>
      </c>
      <c r="F27" s="20" t="n">
        <v>15</v>
      </c>
      <c r="G27" s="21" t="n"/>
      <c r="H27" s="21" t="n"/>
      <c r="I27" s="20" t="inlineStr">
        <is>
          <t>18;21</t>
        </is>
      </c>
      <c r="J27" s="14" t="inlineStr">
        <is>
          <t>O mais breve possível</t>
        </is>
      </c>
      <c r="K27" s="16" t="n">
        <v>50000</v>
      </c>
      <c r="L27" s="20" t="n"/>
    </row>
    <row r="28">
      <c r="A28" s="14" t="n">
        <v>24</v>
      </c>
      <c r="B28" s="14" t="inlineStr">
        <is>
          <t>1.5.2</t>
        </is>
      </c>
      <c r="C28" s="14" t="n">
        <v>3</v>
      </c>
      <c r="D28" s="14" t="inlineStr">
        <is>
          <t xml:space="preserve">        Tubulação e suportes</t>
        </is>
      </c>
      <c r="E28" s="14" t="inlineStr">
        <is>
          <t>Atividade</t>
        </is>
      </c>
      <c r="F28" s="20" t="n">
        <v>15</v>
      </c>
      <c r="G28" s="21" t="n"/>
      <c r="H28" s="21" t="n"/>
      <c r="I28" s="20" t="inlineStr">
        <is>
          <t>23</t>
        </is>
      </c>
      <c r="J28" s="14" t="inlineStr">
        <is>
          <t>O mais breve possível</t>
        </is>
      </c>
      <c r="K28" s="16" t="n">
        <v>50000</v>
      </c>
      <c r="L28" s="20" t="n"/>
    </row>
    <row r="29">
      <c r="A29" s="14" t="n">
        <v>25</v>
      </c>
      <c r="B29" s="14" t="inlineStr">
        <is>
          <t>1.5.3</t>
        </is>
      </c>
      <c r="C29" s="14" t="n">
        <v>3</v>
      </c>
      <c r="D29" s="14" t="inlineStr">
        <is>
          <t xml:space="preserve">        Elétrica, instrumentação e automação</t>
        </is>
      </c>
      <c r="E29" s="14" t="inlineStr">
        <is>
          <t>Atividade</t>
        </is>
      </c>
      <c r="F29" s="20" t="n">
        <v>15</v>
      </c>
      <c r="G29" s="21" t="n"/>
      <c r="H29" s="21" t="n"/>
      <c r="I29" s="20" t="inlineStr">
        <is>
          <t>23</t>
        </is>
      </c>
      <c r="J29" s="14" t="inlineStr">
        <is>
          <t>O mais breve possível</t>
        </is>
      </c>
      <c r="K29" s="16" t="n">
        <v>50000</v>
      </c>
      <c r="L29" s="20" t="n"/>
    </row>
    <row r="30">
      <c r="A30" s="11" t="n">
        <v>26</v>
      </c>
      <c r="B30" s="11" t="inlineStr">
        <is>
          <t>1.6</t>
        </is>
      </c>
      <c r="C30" s="11" t="n">
        <v>2</v>
      </c>
      <c r="D30" s="11" t="inlineStr">
        <is>
          <t xml:space="preserve">    COMISSIONAMENTO</t>
        </is>
      </c>
      <c r="E30" s="11" t="inlineStr">
        <is>
          <t>Resumo</t>
        </is>
      </c>
      <c r="F30" s="11" t="n"/>
      <c r="G30" s="12" t="n"/>
      <c r="H30" s="12" t="n"/>
      <c r="I30" s="11" t="n"/>
      <c r="J30" s="11" t="n"/>
      <c r="K30" s="13" t="n"/>
      <c r="L30" s="11" t="n"/>
    </row>
    <row r="31">
      <c r="A31" s="14" t="n">
        <v>27</v>
      </c>
      <c r="B31" s="14" t="inlineStr">
        <is>
          <t>1.6.1</t>
        </is>
      </c>
      <c r="C31" s="14" t="n">
        <v>3</v>
      </c>
      <c r="D31" s="14" t="inlineStr">
        <is>
          <t xml:space="preserve">        Completação mecânica e testes a frio</t>
        </is>
      </c>
      <c r="E31" s="14" t="inlineStr">
        <is>
          <t>Atividade</t>
        </is>
      </c>
      <c r="F31" s="20" t="n">
        <v>10</v>
      </c>
      <c r="G31" s="21" t="n"/>
      <c r="H31" s="21" t="n"/>
      <c r="I31" s="20" t="inlineStr">
        <is>
          <t>24;25</t>
        </is>
      </c>
      <c r="J31" s="14" t="inlineStr">
        <is>
          <t>O mais breve possível</t>
        </is>
      </c>
      <c r="K31" s="16" t="n">
        <v>50000</v>
      </c>
      <c r="L31" s="20" t="n"/>
    </row>
    <row r="32">
      <c r="A32" s="14" t="n">
        <v>28</v>
      </c>
      <c r="B32" s="14" t="inlineStr">
        <is>
          <t>1.6.2</t>
        </is>
      </c>
      <c r="C32" s="14" t="n">
        <v>3</v>
      </c>
      <c r="D32" s="14" t="inlineStr">
        <is>
          <t xml:space="preserve">        Testes a quente e ECA</t>
        </is>
      </c>
      <c r="E32" s="14" t="inlineStr">
        <is>
          <t>Atividade</t>
        </is>
      </c>
      <c r="F32" s="20" t="n">
        <v>10</v>
      </c>
      <c r="G32" s="21" t="n"/>
      <c r="H32" s="21" t="n"/>
      <c r="I32" s="20" t="inlineStr">
        <is>
          <t>27</t>
        </is>
      </c>
      <c r="J32" s="14" t="inlineStr">
        <is>
          <t>O mais breve possível</t>
        </is>
      </c>
      <c r="K32" s="16" t="n">
        <v>50000</v>
      </c>
      <c r="L32" s="20" t="n"/>
    </row>
    <row r="34">
      <c r="D34" s="22" t="inlineStr">
        <is>
          <t>CRÍTICA — soma dos pontos:</t>
        </is>
      </c>
      <c r="K34" s="23">
        <f>SUM(K5:K32)</f>
        <v/>
      </c>
      <c r="L34" s="24">
        <f>IF(K34=1000000,"OK","AJUSTAR PARA 1.000.000")</f>
        <v/>
      </c>
    </row>
  </sheetData>
  <mergeCells count="2">
    <mergeCell ref="A2:L2"/>
    <mergeCell ref="A1:L1"/>
  </mergeCells>
  <dataValidations count="1">
    <dataValidation sqref="E5:E32" showDropDown="0" showInputMessage="0" showErrorMessage="0" allowBlank="1" type="list">
      <formula1>"Resumo,Atividade,Marco"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6" customWidth="1" min="2" max="2"/>
    <col width="10" customWidth="1" min="3" max="3"/>
    <col width="16" customWidth="1" min="4" max="4"/>
    <col width="10" customWidth="1" min="5" max="5"/>
  </cols>
  <sheetData>
    <row r="1" ht="26" customHeight="1">
      <c r="A1" s="1" t="inlineStr">
        <is>
          <t>LISTA DE VERIFICAÇÃO DE PLANEJAMENTO</t>
        </is>
      </c>
    </row>
    <row r="2">
      <c r="A2" s="2" t="inlineStr">
        <is>
          <t>Aplicar antes de submeter o cronograma · mínimo 85% e itens 2, 3 e 11 obrigatórios</t>
        </is>
      </c>
    </row>
    <row r="4">
      <c r="A4" s="5" t="inlineStr">
        <is>
          <t>ITEM</t>
        </is>
      </c>
      <c r="B4" s="5" t="inlineStr">
        <is>
          <t>VERIFICAÇÃO</t>
        </is>
      </c>
      <c r="C4" s="5" t="inlineStr">
        <is>
          <t>PESO</t>
        </is>
      </c>
      <c r="D4" s="5" t="inlineStr">
        <is>
          <t>AVALIAÇÃO</t>
        </is>
      </c>
      <c r="E4" s="5" t="inlineStr">
        <is>
          <t>NOTA</t>
        </is>
      </c>
    </row>
    <row r="5">
      <c r="A5" s="7" t="n">
        <v>1</v>
      </c>
      <c r="B5" s="7" t="inlineStr">
        <is>
          <t>Atende às datas contratuais do CFF?</t>
        </is>
      </c>
      <c r="C5" s="25" t="n">
        <v>0.121</v>
      </c>
      <c r="D5" s="20" t="inlineStr">
        <is>
          <t>Em análise</t>
        </is>
      </c>
      <c r="E5" s="25">
        <f>IF(D5="Atende",C5,0)</f>
        <v/>
      </c>
    </row>
    <row r="6">
      <c r="A6" s="6" t="n">
        <v>2</v>
      </c>
      <c r="B6" s="6" t="inlineStr">
        <is>
          <t>Existe ponderação de peso conforme o item 9.4?  [OBRIGATÓRIO]</t>
        </is>
      </c>
      <c r="C6" s="26" t="n">
        <v>0.212</v>
      </c>
      <c r="D6" s="20" t="inlineStr">
        <is>
          <t>Em análise</t>
        </is>
      </c>
      <c r="E6" s="26">
        <f>IF(D6="Atende",C6,0)</f>
        <v/>
      </c>
    </row>
    <row r="7">
      <c r="A7" s="6" t="n">
        <v>3</v>
      </c>
      <c r="B7" s="6" t="inlineStr">
        <is>
          <t>Todas as atividades têm predecessora e sucessora?  [OBRIGATÓRIO]</t>
        </is>
      </c>
      <c r="C7" s="26" t="n">
        <v>0.111</v>
      </c>
      <c r="D7" s="20" t="inlineStr">
        <is>
          <t>Em análise</t>
        </is>
      </c>
      <c r="E7" s="26">
        <f>IF(D7="Atende",C7,0)</f>
        <v/>
      </c>
    </row>
    <row r="8">
      <c r="A8" s="7" t="n">
        <v>4</v>
      </c>
      <c r="B8" s="7" t="inlineStr">
        <is>
          <t>O caminho crítico é visualizável, com II e TT amarrados?</t>
        </is>
      </c>
      <c r="C8" s="25" t="n">
        <v>0.0505</v>
      </c>
      <c r="D8" s="20" t="inlineStr">
        <is>
          <t>Em análise</t>
        </is>
      </c>
      <c r="E8" s="25">
        <f>IF(D8="Atende",C8,0)</f>
        <v/>
      </c>
    </row>
    <row r="9">
      <c r="A9" s="7" t="n">
        <v>5</v>
      </c>
      <c r="B9" s="7" t="inlineStr">
        <is>
          <t>Existe calendário específico da fase de construção?</t>
        </is>
      </c>
      <c r="C9" s="25" t="n">
        <v>0.0505</v>
      </c>
      <c r="D9" s="20" t="inlineStr">
        <is>
          <t>Em análise</t>
        </is>
      </c>
      <c r="E9" s="25">
        <f>IF(D9="Atende",C9,0)</f>
        <v/>
      </c>
    </row>
    <row r="10">
      <c r="A10" s="7" t="n">
        <v>6</v>
      </c>
      <c r="B10" s="7" t="inlineStr">
        <is>
          <t>Livre de LAG negativo?</t>
        </is>
      </c>
      <c r="C10" s="25" t="n">
        <v>0.051</v>
      </c>
      <c r="D10" s="20" t="inlineStr">
        <is>
          <t>Em análise</t>
        </is>
      </c>
      <c r="E10" s="25">
        <f>IF(D10="Atende",C10,0)</f>
        <v/>
      </c>
    </row>
    <row r="11">
      <c r="A11" s="7" t="n">
        <v>7</v>
      </c>
      <c r="B11" s="7" t="inlineStr">
        <is>
          <t>Livre de restrições, exceto 'não iniciar antes de'?</t>
        </is>
      </c>
      <c r="C11" s="25" t="n">
        <v>0.1615</v>
      </c>
      <c r="D11" s="20" t="inlineStr">
        <is>
          <t>Em análise</t>
        </is>
      </c>
      <c r="E11" s="25">
        <f>IF(D11="Atende",C11,0)</f>
        <v/>
      </c>
    </row>
    <row r="12">
      <c r="A12" s="7" t="n">
        <v>8</v>
      </c>
      <c r="B12" s="7" t="inlineStr">
        <is>
          <t>Rede de precedência aderente à metodologia construtiva?</t>
        </is>
      </c>
      <c r="C12" s="25" t="n">
        <v>0.0203</v>
      </c>
      <c r="D12" s="20" t="inlineStr">
        <is>
          <t>Em análise</t>
        </is>
      </c>
      <c r="E12" s="25">
        <f>IF(D12="Atende",C12,0)</f>
        <v/>
      </c>
    </row>
    <row r="13">
      <c r="A13" s="7" t="n">
        <v>9</v>
      </c>
      <c r="B13" s="7" t="inlineStr">
        <is>
          <t>Datas e sequência aprovadas pelo gestor técnico?</t>
        </is>
      </c>
      <c r="C13" s="25" t="n">
        <v>0.0202</v>
      </c>
      <c r="D13" s="20" t="inlineStr">
        <is>
          <t>Em análise</t>
        </is>
      </c>
      <c r="E13" s="25">
        <f>IF(D13="Atende",C13,0)</f>
        <v/>
      </c>
    </row>
    <row r="14">
      <c r="A14" s="6" t="n">
        <v>10</v>
      </c>
      <c r="B14" s="6" t="inlineStr">
        <is>
          <t>Livre de duração acima de 15 dias e latência acima de 21 dias?  [OBRIGATÓRIO]</t>
        </is>
      </c>
      <c r="C14" s="26" t="n">
        <v>0.202</v>
      </c>
      <c r="D14" s="20" t="inlineStr">
        <is>
          <t>Em análise</t>
        </is>
      </c>
      <c r="E14" s="26">
        <f>IF(D14="Atende",C14,0)</f>
        <v/>
      </c>
    </row>
    <row r="15">
      <c r="B15" s="27" t="inlineStr">
        <is>
          <t>NOTA FINAL</t>
        </is>
      </c>
      <c r="E15" s="28">
        <f>SUM(E5:E14)</f>
        <v/>
      </c>
    </row>
    <row r="16">
      <c r="B16" s="27" t="inlineStr">
        <is>
          <t>RESULTADO</t>
        </is>
      </c>
      <c r="E16" s="27">
        <f>IF(AND(E15&gt;=0.85,D6="Atende",D7="Atende",D14="Atende"),"APROVADO","REPROVADO")</f>
        <v/>
      </c>
    </row>
  </sheetData>
  <mergeCells count="2">
    <mergeCell ref="A2:E2"/>
    <mergeCell ref="A1:E1"/>
  </mergeCells>
  <dataValidations count="1">
    <dataValidation sqref="D5:D14" showDropDown="0" showInputMessage="0" showErrorMessage="0" allowBlank="1" type="list">
      <formula1>"Atende,Não atende,Em análise"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2026-09-18T12:11:43Z</dcterms:created>
  <dcterms:modified xmlns:dcterms="http://purl.org/dc/terms/" xmlns:xsi="http://www.w3.org/2001/XMLSchema-instance" xsi:type="dcterms:W3CDTF">2026-09-18T12:11:43Z</dcterms:modified>
</cp:coreProperties>
</file>