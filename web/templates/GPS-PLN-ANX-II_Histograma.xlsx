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Histograma" sheetId="2" state="visible" r:id="rId2"/>
    <sheet xmlns:r="http://schemas.openxmlformats.org/officeDocument/2006/relationships" name="Gráf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2D3336"/>
      <sz val="9"/>
    </font>
    <font>
      <name val="Arial"/>
      <b val="1"/>
      <color rgb="002D3336"/>
      <sz val="9"/>
    </font>
    <font>
      <name val="Arial"/>
      <color rgb="000000FF"/>
      <sz val="9"/>
    </font>
    <font>
      <name val="Arial"/>
      <b val="1"/>
      <color rgb="00FFFFFF"/>
      <sz val="9"/>
    </font>
    <font>
      <name val="Arial"/>
      <color rgb="002D3336"/>
      <sz val="8"/>
    </font>
    <font>
      <name val="Arial"/>
      <b val="1"/>
      <sz val="9"/>
    </font>
    <font>
      <name val="Arial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D3336"/>
      </patternFill>
    </fill>
    <fill>
      <patternFill patternType="solid">
        <fgColor rgb="00EDEFF0"/>
      </patternFill>
    </fill>
    <fill>
      <patternFill patternType="solid">
        <fgColor rgb="007D8286"/>
      </patternFill>
    </fill>
  </fills>
  <borders count="2">
    <border>
      <left/>
      <right/>
      <top/>
      <bottom/>
      <diagonal/>
    </border>
    <border>
      <left style="thin">
        <color rgb="00B7BCBF"/>
      </left>
      <right style="thin">
        <color rgb="00B7BCBF"/>
      </right>
      <top style="thin">
        <color rgb="00B7BCBF"/>
      </top>
      <bottom style="thin">
        <color rgb="00B7BC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6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1" fontId="7" fillId="3" borderId="1" pivotButton="0" quotePrefix="0" xfId="0"/>
    <xf numFmtId="0" fontId="8" fillId="0" borderId="1" pivotButton="0" quotePrefix="0" xfId="0"/>
    <xf numFmtId="1" fontId="4" fillId="0" borderId="1" pivotButton="0" quotePrefix="0" xfId="0"/>
    <xf numFmtId="0" fontId="5" fillId="2" borderId="1" pivotButton="0" quotePrefix="0" xfId="0"/>
    <xf numFmtId="1" fontId="5" fillId="2" borderId="1" pivotButton="0" quotePrefix="0" xfId="0"/>
    <xf numFmtId="0" fontId="5" fillId="4" borderId="1" pivotButton="0" quotePrefix="0" xfId="0"/>
    <xf numFmtId="9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Efetivo total (MOI + MOD) — previsto x real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'Histograma'!D93</f>
            </strRef>
          </tx>
          <spPr>
            <a:ln xmlns:a="http://schemas.openxmlformats.org/drawingml/2006/main">
              <a:prstDash val="solid"/>
            </a:ln>
          </spPr>
          <val>
            <numRef>
              <f>'Histograma'!$E$93:$AD$93</f>
            </numRef>
          </val>
        </ser>
        <ser>
          <idx val="1"/>
          <order val="1"/>
          <tx>
            <strRef>
              <f>'Histograma'!D94</f>
            </strRef>
          </tx>
          <spPr>
            <a:ln xmlns:a="http://schemas.openxmlformats.org/drawingml/2006/main">
              <a:prstDash val="solid"/>
            </a:ln>
          </spPr>
          <val>
            <numRef>
              <f>'Histograma'!$E$94:$AD$94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Pessoas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Equipamentos — previsto x real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'Histograma'!D70</f>
            </strRef>
          </tx>
          <spPr>
            <a:ln xmlns:a="http://schemas.openxmlformats.org/drawingml/2006/main">
              <a:prstDash val="solid"/>
            </a:ln>
          </spPr>
          <val>
            <numRef>
              <f>'Histograma'!$E$70:$AD$70</f>
            </numRef>
          </val>
        </ser>
        <ser>
          <idx val="1"/>
          <order val="1"/>
          <tx>
            <strRef>
              <f>'Histograma'!D71</f>
            </strRef>
          </tx>
          <spPr>
            <a:ln xmlns:a="http://schemas.openxmlformats.org/drawingml/2006/main">
              <a:prstDash val="solid"/>
            </a:ln>
          </spPr>
          <val>
            <numRef>
              <f>'Histograma'!$E$71:$AD$71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93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6" customHeight="1">
      <c r="A1" s="1" t="inlineStr">
        <is>
          <t>GPS-PLN-ANX-II — INSTRUÇÕES</t>
        </is>
      </c>
    </row>
    <row r="2">
      <c r="A2" s="2" t="inlineStr">
        <is>
          <t>GPlanSiS|Planejamento · rev. 0</t>
        </is>
      </c>
    </row>
    <row r="4">
      <c r="A4" s="3" t="inlineStr">
        <is>
          <t>Preencha somente as células azuis: efetivo previsto e real por função e por semana.</t>
        </is>
      </c>
    </row>
    <row r="5">
      <c r="A5" s="3" t="inlineStr">
        <is>
          <t>As linhas de grupo (MOI, MOD, Equipamentos) e os totais gerais são calculados — não editar.</t>
        </is>
      </c>
    </row>
    <row r="6">
      <c r="A6" s="3" t="inlineStr">
        <is>
          <t>O histograma é obrigatório nas fases de construção civil, montagem eletromecânica e comissionamento (item 6 do PRO-GPS-PLN-001).</t>
        </is>
      </c>
    </row>
    <row r="7">
      <c r="A7" s="3" t="inlineStr">
        <is>
          <t>Em contratos EPC e pacotes com subcontratação, o previsto deve ser reprojetado conforme o avanço das contratações (item 11.2).</t>
        </is>
      </c>
    </row>
    <row r="8">
      <c r="A8" s="3" t="inlineStr">
        <is>
          <t>A linha de aderência do efetivo compara real e previsto: abaixo de 90% por duas semanas seguidas, justificar no relatório semanal.</t>
        </is>
      </c>
    </row>
    <row r="9">
      <c r="A9" s="3" t="inlineStr">
        <is>
          <t>Funções podem ser incluídas ou removidas; ao inserir linhas, mantenha a coluna P/R preenchida, pois os totais usam SUMIFS por ela.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1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</cols>
  <sheetData>
    <row r="1" ht="26" customHeight="1">
      <c r="A1" s="1" t="inlineStr">
        <is>
          <t>GPS-PLN-ANX-II — HISTOGRAMA DE MÃO DE OBRA E EQUIPAMENTOS</t>
        </is>
      </c>
    </row>
    <row r="2">
      <c r="A2" s="2" t="inlineStr">
        <is>
          <t>GPlanSiS|Planejamento · anexo do PRO-GPS-PLN-001 · rev. 0 · previsto x real por semana</t>
        </is>
      </c>
    </row>
    <row r="3">
      <c r="A3" s="4" t="inlineStr">
        <is>
          <t>Contratante</t>
        </is>
      </c>
      <c r="B3" s="5" t="inlineStr">
        <is>
          <t>XXXXXXXX</t>
        </is>
      </c>
      <c r="C3" s="4" t="inlineStr">
        <is>
          <t>Contratada</t>
        </is>
      </c>
      <c r="D3" s="5" t="inlineStr">
        <is>
          <t>XXXXXXXX</t>
        </is>
      </c>
      <c r="E3" s="4" t="inlineStr">
        <is>
          <t>Contrato nº</t>
        </is>
      </c>
      <c r="F3" s="5" t="inlineStr">
        <is>
          <t>XXXXXXXX</t>
        </is>
      </c>
      <c r="G3" s="4" t="inlineStr">
        <is>
          <t>Área / frente</t>
        </is>
      </c>
      <c r="H3" s="5" t="inlineStr">
        <is>
          <t>ÁREA 100</t>
        </is>
      </c>
    </row>
    <row r="4">
      <c r="E4" s="6" t="n">
        <v>46032</v>
      </c>
      <c r="F4" s="6" t="n">
        <v>46039</v>
      </c>
      <c r="G4" s="6" t="n">
        <v>46046</v>
      </c>
      <c r="H4" s="6" t="n">
        <v>46053</v>
      </c>
      <c r="I4" s="6" t="n">
        <v>46060</v>
      </c>
      <c r="J4" s="6" t="n">
        <v>46067</v>
      </c>
      <c r="K4" s="6" t="n">
        <v>46074</v>
      </c>
      <c r="L4" s="6" t="n">
        <v>46081</v>
      </c>
      <c r="M4" s="6" t="n">
        <v>46088</v>
      </c>
      <c r="N4" s="6" t="n">
        <v>46095</v>
      </c>
      <c r="O4" s="6" t="n">
        <v>46102</v>
      </c>
      <c r="P4" s="6" t="n">
        <v>46109</v>
      </c>
      <c r="Q4" s="6" t="n">
        <v>46116</v>
      </c>
      <c r="R4" s="6" t="n">
        <v>46123</v>
      </c>
      <c r="S4" s="6" t="n">
        <v>46130</v>
      </c>
      <c r="T4" s="6" t="n">
        <v>46137</v>
      </c>
      <c r="U4" s="6" t="n">
        <v>46144</v>
      </c>
      <c r="V4" s="6" t="n">
        <v>46151</v>
      </c>
      <c r="W4" s="6" t="n">
        <v>46158</v>
      </c>
      <c r="X4" s="6" t="n">
        <v>46165</v>
      </c>
      <c r="Y4" s="6" t="n">
        <v>46172</v>
      </c>
      <c r="Z4" s="6" t="n">
        <v>46179</v>
      </c>
      <c r="AA4" s="6" t="n">
        <v>46186</v>
      </c>
      <c r="AB4" s="6" t="n">
        <v>46193</v>
      </c>
      <c r="AC4" s="6" t="n">
        <v>46200</v>
      </c>
      <c r="AD4" s="6" t="n">
        <v>46207</v>
      </c>
    </row>
    <row r="5">
      <c r="A5" s="7" t="inlineStr">
        <is>
          <t>ITEM</t>
        </is>
      </c>
      <c r="B5" s="7" t="inlineStr">
        <is>
          <t>DESCRIÇÃO</t>
        </is>
      </c>
      <c r="C5" s="7" t="inlineStr">
        <is>
          <t>CATEGORIA</t>
        </is>
      </c>
      <c r="D5" s="7" t="inlineStr">
        <is>
          <t>P / R</t>
        </is>
      </c>
      <c r="E5" s="7" t="inlineStr">
        <is>
          <t>Sem 1</t>
        </is>
      </c>
      <c r="F5" s="7" t="inlineStr">
        <is>
          <t>Sem 2</t>
        </is>
      </c>
      <c r="G5" s="7" t="inlineStr">
        <is>
          <t>Sem 3</t>
        </is>
      </c>
      <c r="H5" s="7" t="inlineStr">
        <is>
          <t>Sem 4</t>
        </is>
      </c>
      <c r="I5" s="7" t="inlineStr">
        <is>
          <t>Sem 5</t>
        </is>
      </c>
      <c r="J5" s="7" t="inlineStr">
        <is>
          <t>Sem 6</t>
        </is>
      </c>
      <c r="K5" s="7" t="inlineStr">
        <is>
          <t>Sem 7</t>
        </is>
      </c>
      <c r="L5" s="7" t="inlineStr">
        <is>
          <t>Sem 8</t>
        </is>
      </c>
      <c r="M5" s="7" t="inlineStr">
        <is>
          <t>Sem 9</t>
        </is>
      </c>
      <c r="N5" s="7" t="inlineStr">
        <is>
          <t>Sem 10</t>
        </is>
      </c>
      <c r="O5" s="7" t="inlineStr">
        <is>
          <t>Sem 11</t>
        </is>
      </c>
      <c r="P5" s="7" t="inlineStr">
        <is>
          <t>Sem 12</t>
        </is>
      </c>
      <c r="Q5" s="7" t="inlineStr">
        <is>
          <t>Sem 13</t>
        </is>
      </c>
      <c r="R5" s="7" t="inlineStr">
        <is>
          <t>Sem 14</t>
        </is>
      </c>
      <c r="S5" s="7" t="inlineStr">
        <is>
          <t>Sem 15</t>
        </is>
      </c>
      <c r="T5" s="7" t="inlineStr">
        <is>
          <t>Sem 16</t>
        </is>
      </c>
      <c r="U5" s="7" t="inlineStr">
        <is>
          <t>Sem 17</t>
        </is>
      </c>
      <c r="V5" s="7" t="inlineStr">
        <is>
          <t>Sem 18</t>
        </is>
      </c>
      <c r="W5" s="7" t="inlineStr">
        <is>
          <t>Sem 19</t>
        </is>
      </c>
      <c r="X5" s="7" t="inlineStr">
        <is>
          <t>Sem 20</t>
        </is>
      </c>
      <c r="Y5" s="7" t="inlineStr">
        <is>
          <t>Sem 21</t>
        </is>
      </c>
      <c r="Z5" s="7" t="inlineStr">
        <is>
          <t>Sem 22</t>
        </is>
      </c>
      <c r="AA5" s="7" t="inlineStr">
        <is>
          <t>Sem 23</t>
        </is>
      </c>
      <c r="AB5" s="7" t="inlineStr">
        <is>
          <t>Sem 24</t>
        </is>
      </c>
      <c r="AC5" s="7" t="inlineStr">
        <is>
          <t>Sem 25</t>
        </is>
      </c>
      <c r="AD5" s="7" t="inlineStr">
        <is>
          <t>Sem 26</t>
        </is>
      </c>
    </row>
    <row r="6">
      <c r="A6" s="8" t="inlineStr">
        <is>
          <t>1.</t>
        </is>
      </c>
      <c r="B6" s="8" t="inlineStr">
        <is>
          <t>MÃO DE OBRA INDIRETA</t>
        </is>
      </c>
      <c r="C6" s="8" t="inlineStr">
        <is>
          <t>MOI</t>
        </is>
      </c>
      <c r="D6" s="8" t="inlineStr">
        <is>
          <t>PREVISTO</t>
        </is>
      </c>
      <c r="E6" s="9">
        <f>SUMIFS(E$8:E$37,$D$8:$D$37,"PREVISTO")</f>
        <v/>
      </c>
      <c r="F6" s="9">
        <f>SUMIFS(F$8:F$37,$D$8:$D$37,"PREVISTO")</f>
        <v/>
      </c>
      <c r="G6" s="9">
        <f>SUMIFS(G$8:G$37,$D$8:$D$37,"PREVISTO")</f>
        <v/>
      </c>
      <c r="H6" s="9">
        <f>SUMIFS(H$8:H$37,$D$8:$D$37,"PREVISTO")</f>
        <v/>
      </c>
      <c r="I6" s="9">
        <f>SUMIFS(I$8:I$37,$D$8:$D$37,"PREVISTO")</f>
        <v/>
      </c>
      <c r="J6" s="9">
        <f>SUMIFS(J$8:J$37,$D$8:$D$37,"PREVISTO")</f>
        <v/>
      </c>
      <c r="K6" s="9">
        <f>SUMIFS(K$8:K$37,$D$8:$D$37,"PREVISTO")</f>
        <v/>
      </c>
      <c r="L6" s="9">
        <f>SUMIFS(L$8:L$37,$D$8:$D$37,"PREVISTO")</f>
        <v/>
      </c>
      <c r="M6" s="9">
        <f>SUMIFS(M$8:M$37,$D$8:$D$37,"PREVISTO")</f>
        <v/>
      </c>
      <c r="N6" s="9">
        <f>SUMIFS(N$8:N$37,$D$8:$D$37,"PREVISTO")</f>
        <v/>
      </c>
      <c r="O6" s="9">
        <f>SUMIFS(O$8:O$37,$D$8:$D$37,"PREVISTO")</f>
        <v/>
      </c>
      <c r="P6" s="9">
        <f>SUMIFS(P$8:P$37,$D$8:$D$37,"PREVISTO")</f>
        <v/>
      </c>
      <c r="Q6" s="9">
        <f>SUMIFS(Q$8:Q$37,$D$8:$D$37,"PREVISTO")</f>
        <v/>
      </c>
      <c r="R6" s="9">
        <f>SUMIFS(R$8:R$37,$D$8:$D$37,"PREVISTO")</f>
        <v/>
      </c>
      <c r="S6" s="9">
        <f>SUMIFS(S$8:S$37,$D$8:$D$37,"PREVISTO")</f>
        <v/>
      </c>
      <c r="T6" s="9">
        <f>SUMIFS(T$8:T$37,$D$8:$D$37,"PREVISTO")</f>
        <v/>
      </c>
      <c r="U6" s="9">
        <f>SUMIFS(U$8:U$37,$D$8:$D$37,"PREVISTO")</f>
        <v/>
      </c>
      <c r="V6" s="9">
        <f>SUMIFS(V$8:V$37,$D$8:$D$37,"PREVISTO")</f>
        <v/>
      </c>
      <c r="W6" s="9">
        <f>SUMIFS(W$8:W$37,$D$8:$D$37,"PREVISTO")</f>
        <v/>
      </c>
      <c r="X6" s="9">
        <f>SUMIFS(X$8:X$37,$D$8:$D$37,"PREVISTO")</f>
        <v/>
      </c>
      <c r="Y6" s="9">
        <f>SUMIFS(Y$8:Y$37,$D$8:$D$37,"PREVISTO")</f>
        <v/>
      </c>
      <c r="Z6" s="9">
        <f>SUMIFS(Z$8:Z$37,$D$8:$D$37,"PREVISTO")</f>
        <v/>
      </c>
      <c r="AA6" s="9">
        <f>SUMIFS(AA$8:AA$37,$D$8:$D$37,"PREVISTO")</f>
        <v/>
      </c>
      <c r="AB6" s="9">
        <f>SUMIFS(AB$8:AB$37,$D$8:$D$37,"PREVISTO")</f>
        <v/>
      </c>
      <c r="AC6" s="9">
        <f>SUMIFS(AC$8:AC$37,$D$8:$D$37,"PREVISTO")</f>
        <v/>
      </c>
      <c r="AD6" s="9">
        <f>SUMIFS(AD$8:AD$37,$D$8:$D$37,"PREVISTO")</f>
        <v/>
      </c>
    </row>
    <row r="7">
      <c r="A7" s="8" t="inlineStr">
        <is>
          <t>1.</t>
        </is>
      </c>
      <c r="B7" s="8" t="inlineStr">
        <is>
          <t>MÃO DE OBRA INDIRETA</t>
        </is>
      </c>
      <c r="C7" s="8" t="inlineStr">
        <is>
          <t>MOI</t>
        </is>
      </c>
      <c r="D7" s="8" t="inlineStr">
        <is>
          <t>REAL</t>
        </is>
      </c>
      <c r="E7" s="9">
        <f>SUMIFS(E$8:E$37,$D$8:$D$37,"REAL")</f>
        <v/>
      </c>
      <c r="F7" s="9">
        <f>SUMIFS(F$8:F$37,$D$8:$D$37,"REAL")</f>
        <v/>
      </c>
      <c r="G7" s="9">
        <f>SUMIFS(G$8:G$37,$D$8:$D$37,"REAL")</f>
        <v/>
      </c>
      <c r="H7" s="9">
        <f>SUMIFS(H$8:H$37,$D$8:$D$37,"REAL")</f>
        <v/>
      </c>
      <c r="I7" s="9">
        <f>SUMIFS(I$8:I$37,$D$8:$D$37,"REAL")</f>
        <v/>
      </c>
      <c r="J7" s="9">
        <f>SUMIFS(J$8:J$37,$D$8:$D$37,"REAL")</f>
        <v/>
      </c>
      <c r="K7" s="9">
        <f>SUMIFS(K$8:K$37,$D$8:$D$37,"REAL")</f>
        <v/>
      </c>
      <c r="L7" s="9">
        <f>SUMIFS(L$8:L$37,$D$8:$D$37,"REAL")</f>
        <v/>
      </c>
      <c r="M7" s="9">
        <f>SUMIFS(M$8:M$37,$D$8:$D$37,"REAL")</f>
        <v/>
      </c>
      <c r="N7" s="9">
        <f>SUMIFS(N$8:N$37,$D$8:$D$37,"REAL")</f>
        <v/>
      </c>
      <c r="O7" s="9">
        <f>SUMIFS(O$8:O$37,$D$8:$D$37,"REAL")</f>
        <v/>
      </c>
      <c r="P7" s="9">
        <f>SUMIFS(P$8:P$37,$D$8:$D$37,"REAL")</f>
        <v/>
      </c>
      <c r="Q7" s="9">
        <f>SUMIFS(Q$8:Q$37,$D$8:$D$37,"REAL")</f>
        <v/>
      </c>
      <c r="R7" s="9">
        <f>SUMIFS(R$8:R$37,$D$8:$D$37,"REAL")</f>
        <v/>
      </c>
      <c r="S7" s="9">
        <f>SUMIFS(S$8:S$37,$D$8:$D$37,"REAL")</f>
        <v/>
      </c>
      <c r="T7" s="9">
        <f>SUMIFS(T$8:T$37,$D$8:$D$37,"REAL")</f>
        <v/>
      </c>
      <c r="U7" s="9">
        <f>SUMIFS(U$8:U$37,$D$8:$D$37,"REAL")</f>
        <v/>
      </c>
      <c r="V7" s="9">
        <f>SUMIFS(V$8:V$37,$D$8:$D$37,"REAL")</f>
        <v/>
      </c>
      <c r="W7" s="9">
        <f>SUMIFS(W$8:W$37,$D$8:$D$37,"REAL")</f>
        <v/>
      </c>
      <c r="X7" s="9">
        <f>SUMIFS(X$8:X$37,$D$8:$D$37,"REAL")</f>
        <v/>
      </c>
      <c r="Y7" s="9">
        <f>SUMIFS(Y$8:Y$37,$D$8:$D$37,"REAL")</f>
        <v/>
      </c>
      <c r="Z7" s="9">
        <f>SUMIFS(Z$8:Z$37,$D$8:$D$37,"REAL")</f>
        <v/>
      </c>
      <c r="AA7" s="9">
        <f>SUMIFS(AA$8:AA$37,$D$8:$D$37,"REAL")</f>
        <v/>
      </c>
      <c r="AB7" s="9">
        <f>SUMIFS(AB$8:AB$37,$D$8:$D$37,"REAL")</f>
        <v/>
      </c>
      <c r="AC7" s="9">
        <f>SUMIFS(AC$8:AC$37,$D$8:$D$37,"REAL")</f>
        <v/>
      </c>
      <c r="AD7" s="9">
        <f>SUMIFS(AD$8:AD$37,$D$8:$D$37,"REAL")</f>
        <v/>
      </c>
    </row>
    <row r="8">
      <c r="A8" s="10" t="inlineStr">
        <is>
          <t>1.1</t>
        </is>
      </c>
      <c r="B8" s="10" t="inlineStr">
        <is>
          <t>Gerente de contrato</t>
        </is>
      </c>
      <c r="C8" s="10" t="inlineStr">
        <is>
          <t>MOI</t>
        </is>
      </c>
      <c r="D8" s="10" t="inlineStr">
        <is>
          <t>PREVISTO</t>
        </is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</row>
    <row r="9">
      <c r="A9" s="10" t="inlineStr">
        <is>
          <t>1.1</t>
        </is>
      </c>
      <c r="B9" s="10" t="inlineStr">
        <is>
          <t>Gerente de contrato</t>
        </is>
      </c>
      <c r="C9" s="10" t="inlineStr">
        <is>
          <t>MOI</t>
        </is>
      </c>
      <c r="D9" s="10" t="inlineStr">
        <is>
          <t>REAL</t>
        </is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</row>
    <row r="10">
      <c r="A10" s="10" t="inlineStr">
        <is>
          <t>1.2</t>
        </is>
      </c>
      <c r="B10" s="10" t="inlineStr">
        <is>
          <t>Coordenador geral</t>
        </is>
      </c>
      <c r="C10" s="10" t="inlineStr">
        <is>
          <t>MOI</t>
        </is>
      </c>
      <c r="D10" s="10" t="inlineStr">
        <is>
          <t>PREVISTO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</row>
    <row r="11">
      <c r="A11" s="10" t="inlineStr">
        <is>
          <t>1.2</t>
        </is>
      </c>
      <c r="B11" s="10" t="inlineStr">
        <is>
          <t>Coordenador geral</t>
        </is>
      </c>
      <c r="C11" s="10" t="inlineStr">
        <is>
          <t>MOI</t>
        </is>
      </c>
      <c r="D11" s="10" t="inlineStr">
        <is>
          <t>REAL</t>
        </is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</row>
    <row r="12">
      <c r="A12" s="10" t="inlineStr">
        <is>
          <t>1.3</t>
        </is>
      </c>
      <c r="B12" s="10" t="inlineStr">
        <is>
          <t>Coordenador de planejamento</t>
        </is>
      </c>
      <c r="C12" s="10" t="inlineStr">
        <is>
          <t>MOI</t>
        </is>
      </c>
      <c r="D12" s="10" t="inlineStr">
        <is>
          <t>PREVISTO</t>
        </is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</row>
    <row r="13">
      <c r="A13" s="10" t="inlineStr">
        <is>
          <t>1.3</t>
        </is>
      </c>
      <c r="B13" s="10" t="inlineStr">
        <is>
          <t>Coordenador de planejamento</t>
        </is>
      </c>
      <c r="C13" s="10" t="inlineStr">
        <is>
          <t>MOI</t>
        </is>
      </c>
      <c r="D13" s="10" t="inlineStr">
        <is>
          <t>REAL</t>
        </is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</row>
    <row r="14">
      <c r="A14" s="10" t="inlineStr">
        <is>
          <t>1.4</t>
        </is>
      </c>
      <c r="B14" s="10" t="inlineStr">
        <is>
          <t>Técnico de planejamento</t>
        </is>
      </c>
      <c r="C14" s="10" t="inlineStr">
        <is>
          <t>MOI</t>
        </is>
      </c>
      <c r="D14" s="10" t="inlineStr">
        <is>
          <t>PREVISTO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</row>
    <row r="15">
      <c r="A15" s="10" t="inlineStr">
        <is>
          <t>1.4</t>
        </is>
      </c>
      <c r="B15" s="10" t="inlineStr">
        <is>
          <t>Técnico de planejamento</t>
        </is>
      </c>
      <c r="C15" s="10" t="inlineStr">
        <is>
          <t>MOI</t>
        </is>
      </c>
      <c r="D15" s="10" t="inlineStr">
        <is>
          <t>REAL</t>
        </is>
      </c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</row>
    <row r="16">
      <c r="A16" s="10" t="inlineStr">
        <is>
          <t>1.5</t>
        </is>
      </c>
      <c r="B16" s="10" t="inlineStr">
        <is>
          <t>Engenheiro de campo</t>
        </is>
      </c>
      <c r="C16" s="10" t="inlineStr">
        <is>
          <t>MOI</t>
        </is>
      </c>
      <c r="D16" s="10" t="inlineStr">
        <is>
          <t>PREVISTO</t>
        </is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</row>
    <row r="17">
      <c r="A17" s="10" t="inlineStr">
        <is>
          <t>1.5</t>
        </is>
      </c>
      <c r="B17" s="10" t="inlineStr">
        <is>
          <t>Engenheiro de campo</t>
        </is>
      </c>
      <c r="C17" s="10" t="inlineStr">
        <is>
          <t>MOI</t>
        </is>
      </c>
      <c r="D17" s="10" t="inlineStr">
        <is>
          <t>REAL</t>
        </is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</row>
    <row r="18">
      <c r="A18" s="10" t="inlineStr">
        <is>
          <t>1.6</t>
        </is>
      </c>
      <c r="B18" s="10" t="inlineStr">
        <is>
          <t>Supervisor de mecânica</t>
        </is>
      </c>
      <c r="C18" s="10" t="inlineStr">
        <is>
          <t>MOI</t>
        </is>
      </c>
      <c r="D18" s="10" t="inlineStr">
        <is>
          <t>PREVISTO</t>
        </is>
      </c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</row>
    <row r="19">
      <c r="A19" s="10" t="inlineStr">
        <is>
          <t>1.6</t>
        </is>
      </c>
      <c r="B19" s="10" t="inlineStr">
        <is>
          <t>Supervisor de mecânica</t>
        </is>
      </c>
      <c r="C19" s="10" t="inlineStr">
        <is>
          <t>MOI</t>
        </is>
      </c>
      <c r="D19" s="10" t="inlineStr">
        <is>
          <t>REAL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</row>
    <row r="20">
      <c r="A20" s="10" t="inlineStr">
        <is>
          <t>1.7</t>
        </is>
      </c>
      <c r="B20" s="10" t="inlineStr">
        <is>
          <t>Supervisor de elétrica</t>
        </is>
      </c>
      <c r="C20" s="10" t="inlineStr">
        <is>
          <t>MOI</t>
        </is>
      </c>
      <c r="D20" s="10" t="inlineStr">
        <is>
          <t>PREVISTO</t>
        </is>
      </c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</row>
    <row r="21">
      <c r="A21" s="10" t="inlineStr">
        <is>
          <t>1.7</t>
        </is>
      </c>
      <c r="B21" s="10" t="inlineStr">
        <is>
          <t>Supervisor de elétrica</t>
        </is>
      </c>
      <c r="C21" s="10" t="inlineStr">
        <is>
          <t>MOI</t>
        </is>
      </c>
      <c r="D21" s="10" t="inlineStr">
        <is>
          <t>REAL</t>
        </is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</row>
    <row r="22">
      <c r="A22" s="10" t="inlineStr">
        <is>
          <t>1.8</t>
        </is>
      </c>
      <c r="B22" s="10" t="inlineStr">
        <is>
          <t>Inspetor de solda</t>
        </is>
      </c>
      <c r="C22" s="10" t="inlineStr">
        <is>
          <t>MOI</t>
        </is>
      </c>
      <c r="D22" s="10" t="inlineStr">
        <is>
          <t>PREVISTO</t>
        </is>
      </c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</row>
    <row r="23">
      <c r="A23" s="10" t="inlineStr">
        <is>
          <t>1.8</t>
        </is>
      </c>
      <c r="B23" s="10" t="inlineStr">
        <is>
          <t>Inspetor de solda</t>
        </is>
      </c>
      <c r="C23" s="10" t="inlineStr">
        <is>
          <t>MOI</t>
        </is>
      </c>
      <c r="D23" s="10" t="inlineStr">
        <is>
          <t>REAL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</row>
    <row r="24">
      <c r="A24" s="10" t="inlineStr">
        <is>
          <t>1.9</t>
        </is>
      </c>
      <c r="B24" s="10" t="inlineStr">
        <is>
          <t>Inspetor de END</t>
        </is>
      </c>
      <c r="C24" s="10" t="inlineStr">
        <is>
          <t>MOI</t>
        </is>
      </c>
      <c r="D24" s="10" t="inlineStr">
        <is>
          <t>PREVISTO</t>
        </is>
      </c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</row>
    <row r="25">
      <c r="A25" s="10" t="inlineStr">
        <is>
          <t>1.9</t>
        </is>
      </c>
      <c r="B25" s="10" t="inlineStr">
        <is>
          <t>Inspetor de END</t>
        </is>
      </c>
      <c r="C25" s="10" t="inlineStr">
        <is>
          <t>MOI</t>
        </is>
      </c>
      <c r="D25" s="10" t="inlineStr">
        <is>
          <t>REAL</t>
        </is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</row>
    <row r="26">
      <c r="A26" s="10" t="inlineStr">
        <is>
          <t>1.10</t>
        </is>
      </c>
      <c r="B26" s="10" t="inlineStr">
        <is>
          <t>Técnico de segurança</t>
        </is>
      </c>
      <c r="C26" s="10" t="inlineStr">
        <is>
          <t>MOI</t>
        </is>
      </c>
      <c r="D26" s="10" t="inlineStr">
        <is>
          <t>PREVISTO</t>
        </is>
      </c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</row>
    <row r="27">
      <c r="A27" s="10" t="inlineStr">
        <is>
          <t>1.10</t>
        </is>
      </c>
      <c r="B27" s="10" t="inlineStr">
        <is>
          <t>Técnico de segurança</t>
        </is>
      </c>
      <c r="C27" s="10" t="inlineStr">
        <is>
          <t>MOI</t>
        </is>
      </c>
      <c r="D27" s="10" t="inlineStr">
        <is>
          <t>REAL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</row>
    <row r="28">
      <c r="A28" s="10" t="inlineStr">
        <is>
          <t>1.11</t>
        </is>
      </c>
      <c r="B28" s="10" t="inlineStr">
        <is>
          <t>Topógrafo</t>
        </is>
      </c>
      <c r="C28" s="10" t="inlineStr">
        <is>
          <t>MOI</t>
        </is>
      </c>
      <c r="D28" s="10" t="inlineStr">
        <is>
          <t>PREVISTO</t>
        </is>
      </c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</row>
    <row r="29">
      <c r="A29" s="10" t="inlineStr">
        <is>
          <t>1.11</t>
        </is>
      </c>
      <c r="B29" s="10" t="inlineStr">
        <is>
          <t>Topógrafo</t>
        </is>
      </c>
      <c r="C29" s="10" t="inlineStr">
        <is>
          <t>MOI</t>
        </is>
      </c>
      <c r="D29" s="10" t="inlineStr">
        <is>
          <t>REAL</t>
        </is>
      </c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</row>
    <row r="30">
      <c r="A30" s="10" t="inlineStr">
        <is>
          <t>1.12</t>
        </is>
      </c>
      <c r="B30" s="10" t="inlineStr">
        <is>
          <t>Almoxarife</t>
        </is>
      </c>
      <c r="C30" s="10" t="inlineStr">
        <is>
          <t>MOI</t>
        </is>
      </c>
      <c r="D30" s="10" t="inlineStr">
        <is>
          <t>PREVISTO</t>
        </is>
      </c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</row>
    <row r="31">
      <c r="A31" s="10" t="inlineStr">
        <is>
          <t>1.12</t>
        </is>
      </c>
      <c r="B31" s="10" t="inlineStr">
        <is>
          <t>Almoxarife</t>
        </is>
      </c>
      <c r="C31" s="10" t="inlineStr">
        <is>
          <t>MOI</t>
        </is>
      </c>
      <c r="D31" s="10" t="inlineStr">
        <is>
          <t>REAL</t>
        </is>
      </c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</row>
    <row r="32">
      <c r="A32" s="10" t="inlineStr">
        <is>
          <t>1.13</t>
        </is>
      </c>
      <c r="B32" s="10" t="inlineStr">
        <is>
          <t>Apontador de produção</t>
        </is>
      </c>
      <c r="C32" s="10" t="inlineStr">
        <is>
          <t>MOI</t>
        </is>
      </c>
      <c r="D32" s="10" t="inlineStr">
        <is>
          <t>PREVISTO</t>
        </is>
      </c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</row>
    <row r="33">
      <c r="A33" s="10" t="inlineStr">
        <is>
          <t>1.13</t>
        </is>
      </c>
      <c r="B33" s="10" t="inlineStr">
        <is>
          <t>Apontador de produção</t>
        </is>
      </c>
      <c r="C33" s="10" t="inlineStr">
        <is>
          <t>MOI</t>
        </is>
      </c>
      <c r="D33" s="10" t="inlineStr">
        <is>
          <t>REAL</t>
        </is>
      </c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</row>
    <row r="34">
      <c r="A34" s="10" t="inlineStr">
        <is>
          <t>1.14</t>
        </is>
      </c>
      <c r="B34" s="10" t="inlineStr">
        <is>
          <t>Assistente administrativo</t>
        </is>
      </c>
      <c r="C34" s="10" t="inlineStr">
        <is>
          <t>MOI</t>
        </is>
      </c>
      <c r="D34" s="10" t="inlineStr">
        <is>
          <t>PREVISTO</t>
        </is>
      </c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</row>
    <row r="35">
      <c r="A35" s="10" t="inlineStr">
        <is>
          <t>1.14</t>
        </is>
      </c>
      <c r="B35" s="10" t="inlineStr">
        <is>
          <t>Assistente administrativo</t>
        </is>
      </c>
      <c r="C35" s="10" t="inlineStr">
        <is>
          <t>MOI</t>
        </is>
      </c>
      <c r="D35" s="10" t="inlineStr">
        <is>
          <t>REAL</t>
        </is>
      </c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</row>
    <row r="36">
      <c r="A36" s="10" t="inlineStr">
        <is>
          <t>1.15</t>
        </is>
      </c>
      <c r="B36" s="10" t="inlineStr">
        <is>
          <t>Motorista</t>
        </is>
      </c>
      <c r="C36" s="10" t="inlineStr">
        <is>
          <t>MOI</t>
        </is>
      </c>
      <c r="D36" s="10" t="inlineStr">
        <is>
          <t>PREVISTO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</row>
    <row r="37">
      <c r="A37" s="10" t="inlineStr">
        <is>
          <t>1.15</t>
        </is>
      </c>
      <c r="B37" s="10" t="inlineStr">
        <is>
          <t>Motorista</t>
        </is>
      </c>
      <c r="C37" s="10" t="inlineStr">
        <is>
          <t>MOI</t>
        </is>
      </c>
      <c r="D37" s="10" t="inlineStr">
        <is>
          <t>REAL</t>
        </is>
      </c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</row>
    <row r="39">
      <c r="A39" s="8" t="inlineStr">
        <is>
          <t>2.</t>
        </is>
      </c>
      <c r="B39" s="8" t="inlineStr">
        <is>
          <t>MÃO DE OBRA DIRETA</t>
        </is>
      </c>
      <c r="C39" s="8" t="inlineStr">
        <is>
          <t>MOD</t>
        </is>
      </c>
      <c r="D39" s="8" t="inlineStr">
        <is>
          <t>PREVISTO</t>
        </is>
      </c>
      <c r="E39" s="9">
        <f>SUMIFS(E$41:E$68,$D$41:$D$68,"PREVISTO")</f>
        <v/>
      </c>
      <c r="F39" s="9">
        <f>SUMIFS(F$41:F$68,$D$41:$D$68,"PREVISTO")</f>
        <v/>
      </c>
      <c r="G39" s="9">
        <f>SUMIFS(G$41:G$68,$D$41:$D$68,"PREVISTO")</f>
        <v/>
      </c>
      <c r="H39" s="9">
        <f>SUMIFS(H$41:H$68,$D$41:$D$68,"PREVISTO")</f>
        <v/>
      </c>
      <c r="I39" s="9">
        <f>SUMIFS(I$41:I$68,$D$41:$D$68,"PREVISTO")</f>
        <v/>
      </c>
      <c r="J39" s="9">
        <f>SUMIFS(J$41:J$68,$D$41:$D$68,"PREVISTO")</f>
        <v/>
      </c>
      <c r="K39" s="9">
        <f>SUMIFS(K$41:K$68,$D$41:$D$68,"PREVISTO")</f>
        <v/>
      </c>
      <c r="L39" s="9">
        <f>SUMIFS(L$41:L$68,$D$41:$D$68,"PREVISTO")</f>
        <v/>
      </c>
      <c r="M39" s="9">
        <f>SUMIFS(M$41:M$68,$D$41:$D$68,"PREVISTO")</f>
        <v/>
      </c>
      <c r="N39" s="9">
        <f>SUMIFS(N$41:N$68,$D$41:$D$68,"PREVISTO")</f>
        <v/>
      </c>
      <c r="O39" s="9">
        <f>SUMIFS(O$41:O$68,$D$41:$D$68,"PREVISTO")</f>
        <v/>
      </c>
      <c r="P39" s="9">
        <f>SUMIFS(P$41:P$68,$D$41:$D$68,"PREVISTO")</f>
        <v/>
      </c>
      <c r="Q39" s="9">
        <f>SUMIFS(Q$41:Q$68,$D$41:$D$68,"PREVISTO")</f>
        <v/>
      </c>
      <c r="R39" s="9">
        <f>SUMIFS(R$41:R$68,$D$41:$D$68,"PREVISTO")</f>
        <v/>
      </c>
      <c r="S39" s="9">
        <f>SUMIFS(S$41:S$68,$D$41:$D$68,"PREVISTO")</f>
        <v/>
      </c>
      <c r="T39" s="9">
        <f>SUMIFS(T$41:T$68,$D$41:$D$68,"PREVISTO")</f>
        <v/>
      </c>
      <c r="U39" s="9">
        <f>SUMIFS(U$41:U$68,$D$41:$D$68,"PREVISTO")</f>
        <v/>
      </c>
      <c r="V39" s="9">
        <f>SUMIFS(V$41:V$68,$D$41:$D$68,"PREVISTO")</f>
        <v/>
      </c>
      <c r="W39" s="9">
        <f>SUMIFS(W$41:W$68,$D$41:$D$68,"PREVISTO")</f>
        <v/>
      </c>
      <c r="X39" s="9">
        <f>SUMIFS(X$41:X$68,$D$41:$D$68,"PREVISTO")</f>
        <v/>
      </c>
      <c r="Y39" s="9">
        <f>SUMIFS(Y$41:Y$68,$D$41:$D$68,"PREVISTO")</f>
        <v/>
      </c>
      <c r="Z39" s="9">
        <f>SUMIFS(Z$41:Z$68,$D$41:$D$68,"PREVISTO")</f>
        <v/>
      </c>
      <c r="AA39" s="9">
        <f>SUMIFS(AA$41:AA$68,$D$41:$D$68,"PREVISTO")</f>
        <v/>
      </c>
      <c r="AB39" s="9">
        <f>SUMIFS(AB$41:AB$68,$D$41:$D$68,"PREVISTO")</f>
        <v/>
      </c>
      <c r="AC39" s="9">
        <f>SUMIFS(AC$41:AC$68,$D$41:$D$68,"PREVISTO")</f>
        <v/>
      </c>
      <c r="AD39" s="9">
        <f>SUMIFS(AD$41:AD$68,$D$41:$D$68,"PREVISTO")</f>
        <v/>
      </c>
    </row>
    <row r="40">
      <c r="A40" s="8" t="inlineStr">
        <is>
          <t>2.</t>
        </is>
      </c>
      <c r="B40" s="8" t="inlineStr">
        <is>
          <t>MÃO DE OBRA DIRETA</t>
        </is>
      </c>
      <c r="C40" s="8" t="inlineStr">
        <is>
          <t>MOD</t>
        </is>
      </c>
      <c r="D40" s="8" t="inlineStr">
        <is>
          <t>REAL</t>
        </is>
      </c>
      <c r="E40" s="9">
        <f>SUMIFS(E$41:E$68,$D$41:$D$68,"REAL")</f>
        <v/>
      </c>
      <c r="F40" s="9">
        <f>SUMIFS(F$41:F$68,$D$41:$D$68,"REAL")</f>
        <v/>
      </c>
      <c r="G40" s="9">
        <f>SUMIFS(G$41:G$68,$D$41:$D$68,"REAL")</f>
        <v/>
      </c>
      <c r="H40" s="9">
        <f>SUMIFS(H$41:H$68,$D$41:$D$68,"REAL")</f>
        <v/>
      </c>
      <c r="I40" s="9">
        <f>SUMIFS(I$41:I$68,$D$41:$D$68,"REAL")</f>
        <v/>
      </c>
      <c r="J40" s="9">
        <f>SUMIFS(J$41:J$68,$D$41:$D$68,"REAL")</f>
        <v/>
      </c>
      <c r="K40" s="9">
        <f>SUMIFS(K$41:K$68,$D$41:$D$68,"REAL")</f>
        <v/>
      </c>
      <c r="L40" s="9">
        <f>SUMIFS(L$41:L$68,$D$41:$D$68,"REAL")</f>
        <v/>
      </c>
      <c r="M40" s="9">
        <f>SUMIFS(M$41:M$68,$D$41:$D$68,"REAL")</f>
        <v/>
      </c>
      <c r="N40" s="9">
        <f>SUMIFS(N$41:N$68,$D$41:$D$68,"REAL")</f>
        <v/>
      </c>
      <c r="O40" s="9">
        <f>SUMIFS(O$41:O$68,$D$41:$D$68,"REAL")</f>
        <v/>
      </c>
      <c r="P40" s="9">
        <f>SUMIFS(P$41:P$68,$D$41:$D$68,"REAL")</f>
        <v/>
      </c>
      <c r="Q40" s="9">
        <f>SUMIFS(Q$41:Q$68,$D$41:$D$68,"REAL")</f>
        <v/>
      </c>
      <c r="R40" s="9">
        <f>SUMIFS(R$41:R$68,$D$41:$D$68,"REAL")</f>
        <v/>
      </c>
      <c r="S40" s="9">
        <f>SUMIFS(S$41:S$68,$D$41:$D$68,"REAL")</f>
        <v/>
      </c>
      <c r="T40" s="9">
        <f>SUMIFS(T$41:T$68,$D$41:$D$68,"REAL")</f>
        <v/>
      </c>
      <c r="U40" s="9">
        <f>SUMIFS(U$41:U$68,$D$41:$D$68,"REAL")</f>
        <v/>
      </c>
      <c r="V40" s="9">
        <f>SUMIFS(V$41:V$68,$D$41:$D$68,"REAL")</f>
        <v/>
      </c>
      <c r="W40" s="9">
        <f>SUMIFS(W$41:W$68,$D$41:$D$68,"REAL")</f>
        <v/>
      </c>
      <c r="X40" s="9">
        <f>SUMIFS(X$41:X$68,$D$41:$D$68,"REAL")</f>
        <v/>
      </c>
      <c r="Y40" s="9">
        <f>SUMIFS(Y$41:Y$68,$D$41:$D$68,"REAL")</f>
        <v/>
      </c>
      <c r="Z40" s="9">
        <f>SUMIFS(Z$41:Z$68,$D$41:$D$68,"REAL")</f>
        <v/>
      </c>
      <c r="AA40" s="9">
        <f>SUMIFS(AA$41:AA$68,$D$41:$D$68,"REAL")</f>
        <v/>
      </c>
      <c r="AB40" s="9">
        <f>SUMIFS(AB$41:AB$68,$D$41:$D$68,"REAL")</f>
        <v/>
      </c>
      <c r="AC40" s="9">
        <f>SUMIFS(AC$41:AC$68,$D$41:$D$68,"REAL")</f>
        <v/>
      </c>
      <c r="AD40" s="9">
        <f>SUMIFS(AD$41:AD$68,$D$41:$D$68,"REAL")</f>
        <v/>
      </c>
    </row>
    <row r="41">
      <c r="A41" s="10" t="inlineStr">
        <is>
          <t>2.1</t>
        </is>
      </c>
      <c r="B41" s="10" t="inlineStr">
        <is>
          <t>Encarregado</t>
        </is>
      </c>
      <c r="C41" s="10" t="inlineStr">
        <is>
          <t>MOD</t>
        </is>
      </c>
      <c r="D41" s="10" t="inlineStr">
        <is>
          <t>PREVISTO</t>
        </is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</row>
    <row r="42">
      <c r="A42" s="10" t="inlineStr">
        <is>
          <t>2.1</t>
        </is>
      </c>
      <c r="B42" s="10" t="inlineStr">
        <is>
          <t>Encarregado</t>
        </is>
      </c>
      <c r="C42" s="10" t="inlineStr">
        <is>
          <t>MOD</t>
        </is>
      </c>
      <c r="D42" s="10" t="inlineStr">
        <is>
          <t>REAL</t>
        </is>
      </c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</row>
    <row r="43">
      <c r="A43" s="10" t="inlineStr">
        <is>
          <t>2.2</t>
        </is>
      </c>
      <c r="B43" s="10" t="inlineStr">
        <is>
          <t>Caldeireiro</t>
        </is>
      </c>
      <c r="C43" s="10" t="inlineStr">
        <is>
          <t>MOD</t>
        </is>
      </c>
      <c r="D43" s="10" t="inlineStr">
        <is>
          <t>PREVISTO</t>
        </is>
      </c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</row>
    <row r="44">
      <c r="A44" s="10" t="inlineStr">
        <is>
          <t>2.2</t>
        </is>
      </c>
      <c r="B44" s="10" t="inlineStr">
        <is>
          <t>Caldeireiro</t>
        </is>
      </c>
      <c r="C44" s="10" t="inlineStr">
        <is>
          <t>MOD</t>
        </is>
      </c>
      <c r="D44" s="10" t="inlineStr">
        <is>
          <t>REAL</t>
        </is>
      </c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</row>
    <row r="45">
      <c r="A45" s="10" t="inlineStr">
        <is>
          <t>2.3</t>
        </is>
      </c>
      <c r="B45" s="10" t="inlineStr">
        <is>
          <t>Soldador</t>
        </is>
      </c>
      <c r="C45" s="10" t="inlineStr">
        <is>
          <t>MOD</t>
        </is>
      </c>
      <c r="D45" s="10" t="inlineStr">
        <is>
          <t>PREVISTO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</row>
    <row r="46">
      <c r="A46" s="10" t="inlineStr">
        <is>
          <t>2.3</t>
        </is>
      </c>
      <c r="B46" s="10" t="inlineStr">
        <is>
          <t>Soldador</t>
        </is>
      </c>
      <c r="C46" s="10" t="inlineStr">
        <is>
          <t>MOD</t>
        </is>
      </c>
      <c r="D46" s="10" t="inlineStr">
        <is>
          <t>REAL</t>
        </is>
      </c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</row>
    <row r="47">
      <c r="A47" s="10" t="inlineStr">
        <is>
          <t>2.4</t>
        </is>
      </c>
      <c r="B47" s="10" t="inlineStr">
        <is>
          <t>Montador mecânico</t>
        </is>
      </c>
      <c r="C47" s="10" t="inlineStr">
        <is>
          <t>MOD</t>
        </is>
      </c>
      <c r="D47" s="10" t="inlineStr">
        <is>
          <t>PREVISTO</t>
        </is>
      </c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</row>
    <row r="48">
      <c r="A48" s="10" t="inlineStr">
        <is>
          <t>2.4</t>
        </is>
      </c>
      <c r="B48" s="10" t="inlineStr">
        <is>
          <t>Montador mecânico</t>
        </is>
      </c>
      <c r="C48" s="10" t="inlineStr">
        <is>
          <t>MOD</t>
        </is>
      </c>
      <c r="D48" s="10" t="inlineStr">
        <is>
          <t>REAL</t>
        </is>
      </c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</row>
    <row r="49">
      <c r="A49" s="10" t="inlineStr">
        <is>
          <t>2.5</t>
        </is>
      </c>
      <c r="B49" s="10" t="inlineStr">
        <is>
          <t>Tubista</t>
        </is>
      </c>
      <c r="C49" s="10" t="inlineStr">
        <is>
          <t>MOD</t>
        </is>
      </c>
      <c r="D49" s="10" t="inlineStr">
        <is>
          <t>PREVISTO</t>
        </is>
      </c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</row>
    <row r="50">
      <c r="A50" s="10" t="inlineStr">
        <is>
          <t>2.5</t>
        </is>
      </c>
      <c r="B50" s="10" t="inlineStr">
        <is>
          <t>Tubista</t>
        </is>
      </c>
      <c r="C50" s="10" t="inlineStr">
        <is>
          <t>MOD</t>
        </is>
      </c>
      <c r="D50" s="10" t="inlineStr">
        <is>
          <t>REAL</t>
        </is>
      </c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</row>
    <row r="51">
      <c r="A51" s="10" t="inlineStr">
        <is>
          <t>2.6</t>
        </is>
      </c>
      <c r="B51" s="10" t="inlineStr">
        <is>
          <t>Eletricista</t>
        </is>
      </c>
      <c r="C51" s="10" t="inlineStr">
        <is>
          <t>MOD</t>
        </is>
      </c>
      <c r="D51" s="10" t="inlineStr">
        <is>
          <t>PREVISTO</t>
        </is>
      </c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</row>
    <row r="52">
      <c r="A52" s="10" t="inlineStr">
        <is>
          <t>2.6</t>
        </is>
      </c>
      <c r="B52" s="10" t="inlineStr">
        <is>
          <t>Eletricista</t>
        </is>
      </c>
      <c r="C52" s="10" t="inlineStr">
        <is>
          <t>MOD</t>
        </is>
      </c>
      <c r="D52" s="10" t="inlineStr">
        <is>
          <t>REAL</t>
        </is>
      </c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</row>
    <row r="53">
      <c r="A53" s="10" t="inlineStr">
        <is>
          <t>2.7</t>
        </is>
      </c>
      <c r="B53" s="10" t="inlineStr">
        <is>
          <t>Instrumentista</t>
        </is>
      </c>
      <c r="C53" s="10" t="inlineStr">
        <is>
          <t>MOD</t>
        </is>
      </c>
      <c r="D53" s="10" t="inlineStr">
        <is>
          <t>PREVISTO</t>
        </is>
      </c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</row>
    <row r="54">
      <c r="A54" s="10" t="inlineStr">
        <is>
          <t>2.7</t>
        </is>
      </c>
      <c r="B54" s="10" t="inlineStr">
        <is>
          <t>Instrumentista</t>
        </is>
      </c>
      <c r="C54" s="10" t="inlineStr">
        <is>
          <t>MOD</t>
        </is>
      </c>
      <c r="D54" s="10" t="inlineStr">
        <is>
          <t>REAL</t>
        </is>
      </c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</row>
    <row r="55">
      <c r="A55" s="10" t="inlineStr">
        <is>
          <t>2.8</t>
        </is>
      </c>
      <c r="B55" s="10" t="inlineStr">
        <is>
          <t>Carpinteiro</t>
        </is>
      </c>
      <c r="C55" s="10" t="inlineStr">
        <is>
          <t>MOD</t>
        </is>
      </c>
      <c r="D55" s="10" t="inlineStr">
        <is>
          <t>PREVISTO</t>
        </is>
      </c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</row>
    <row r="56">
      <c r="A56" s="10" t="inlineStr">
        <is>
          <t>2.8</t>
        </is>
      </c>
      <c r="B56" s="10" t="inlineStr">
        <is>
          <t>Carpinteiro</t>
        </is>
      </c>
      <c r="C56" s="10" t="inlineStr">
        <is>
          <t>MOD</t>
        </is>
      </c>
      <c r="D56" s="10" t="inlineStr">
        <is>
          <t>REAL</t>
        </is>
      </c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</row>
    <row r="57">
      <c r="A57" s="10" t="inlineStr">
        <is>
          <t>2.9</t>
        </is>
      </c>
      <c r="B57" s="10" t="inlineStr">
        <is>
          <t>Armador</t>
        </is>
      </c>
      <c r="C57" s="10" t="inlineStr">
        <is>
          <t>MOD</t>
        </is>
      </c>
      <c r="D57" s="10" t="inlineStr">
        <is>
          <t>PREVISTO</t>
        </is>
      </c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</row>
    <row r="58">
      <c r="A58" s="10" t="inlineStr">
        <is>
          <t>2.9</t>
        </is>
      </c>
      <c r="B58" s="10" t="inlineStr">
        <is>
          <t>Armador</t>
        </is>
      </c>
      <c r="C58" s="10" t="inlineStr">
        <is>
          <t>MOD</t>
        </is>
      </c>
      <c r="D58" s="10" t="inlineStr">
        <is>
          <t>REAL</t>
        </is>
      </c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</row>
    <row r="59">
      <c r="A59" s="10" t="inlineStr">
        <is>
          <t>2.10</t>
        </is>
      </c>
      <c r="B59" s="10" t="inlineStr">
        <is>
          <t>Pedreiro</t>
        </is>
      </c>
      <c r="C59" s="10" t="inlineStr">
        <is>
          <t>MOD</t>
        </is>
      </c>
      <c r="D59" s="10" t="inlineStr">
        <is>
          <t>PREVISTO</t>
        </is>
      </c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</row>
    <row r="60">
      <c r="A60" s="10" t="inlineStr">
        <is>
          <t>2.10</t>
        </is>
      </c>
      <c r="B60" s="10" t="inlineStr">
        <is>
          <t>Pedreiro</t>
        </is>
      </c>
      <c r="C60" s="10" t="inlineStr">
        <is>
          <t>MOD</t>
        </is>
      </c>
      <c r="D60" s="10" t="inlineStr">
        <is>
          <t>REAL</t>
        </is>
      </c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</row>
    <row r="61">
      <c r="A61" s="10" t="inlineStr">
        <is>
          <t>2.11</t>
        </is>
      </c>
      <c r="B61" s="10" t="inlineStr">
        <is>
          <t>Andaimeiro</t>
        </is>
      </c>
      <c r="C61" s="10" t="inlineStr">
        <is>
          <t>MOD</t>
        </is>
      </c>
      <c r="D61" s="10" t="inlineStr">
        <is>
          <t>PREVISTO</t>
        </is>
      </c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</row>
    <row r="62">
      <c r="A62" s="10" t="inlineStr">
        <is>
          <t>2.11</t>
        </is>
      </c>
      <c r="B62" s="10" t="inlineStr">
        <is>
          <t>Andaimeiro</t>
        </is>
      </c>
      <c r="C62" s="10" t="inlineStr">
        <is>
          <t>MOD</t>
        </is>
      </c>
      <c r="D62" s="10" t="inlineStr">
        <is>
          <t>REAL</t>
        </is>
      </c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</row>
    <row r="63">
      <c r="A63" s="10" t="inlineStr">
        <is>
          <t>2.12</t>
        </is>
      </c>
      <c r="B63" s="10" t="inlineStr">
        <is>
          <t>Rigger / sinaleiro</t>
        </is>
      </c>
      <c r="C63" s="10" t="inlineStr">
        <is>
          <t>MOD</t>
        </is>
      </c>
      <c r="D63" s="10" t="inlineStr">
        <is>
          <t>PREVISTO</t>
        </is>
      </c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</row>
    <row r="64">
      <c r="A64" s="10" t="inlineStr">
        <is>
          <t>2.12</t>
        </is>
      </c>
      <c r="B64" s="10" t="inlineStr">
        <is>
          <t>Rigger / sinaleiro</t>
        </is>
      </c>
      <c r="C64" s="10" t="inlineStr">
        <is>
          <t>MOD</t>
        </is>
      </c>
      <c r="D64" s="10" t="inlineStr">
        <is>
          <t>REAL</t>
        </is>
      </c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</row>
    <row r="65">
      <c r="A65" s="10" t="inlineStr">
        <is>
          <t>2.13</t>
        </is>
      </c>
      <c r="B65" s="10" t="inlineStr">
        <is>
          <t>Ajudante</t>
        </is>
      </c>
      <c r="C65" s="10" t="inlineStr">
        <is>
          <t>MOD</t>
        </is>
      </c>
      <c r="D65" s="10" t="inlineStr">
        <is>
          <t>PREVISTO</t>
        </is>
      </c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</row>
    <row r="66">
      <c r="A66" s="10" t="inlineStr">
        <is>
          <t>2.13</t>
        </is>
      </c>
      <c r="B66" s="10" t="inlineStr">
        <is>
          <t>Ajudante</t>
        </is>
      </c>
      <c r="C66" s="10" t="inlineStr">
        <is>
          <t>MOD</t>
        </is>
      </c>
      <c r="D66" s="10" t="inlineStr">
        <is>
          <t>REAL</t>
        </is>
      </c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</row>
    <row r="67">
      <c r="A67" s="10" t="inlineStr">
        <is>
          <t>2.14</t>
        </is>
      </c>
      <c r="B67" s="10" t="inlineStr">
        <is>
          <t>Servente</t>
        </is>
      </c>
      <c r="C67" s="10" t="inlineStr">
        <is>
          <t>MOD</t>
        </is>
      </c>
      <c r="D67" s="10" t="inlineStr">
        <is>
          <t>PREVISTO</t>
        </is>
      </c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</row>
    <row r="68">
      <c r="A68" s="10" t="inlineStr">
        <is>
          <t>2.14</t>
        </is>
      </c>
      <c r="B68" s="10" t="inlineStr">
        <is>
          <t>Servente</t>
        </is>
      </c>
      <c r="C68" s="10" t="inlineStr">
        <is>
          <t>MOD</t>
        </is>
      </c>
      <c r="D68" s="10" t="inlineStr">
        <is>
          <t>REAL</t>
        </is>
      </c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</row>
    <row r="70">
      <c r="A70" s="8" t="inlineStr">
        <is>
          <t>3.</t>
        </is>
      </c>
      <c r="B70" s="8" t="inlineStr">
        <is>
          <t>EQUIPAMENTOS</t>
        </is>
      </c>
      <c r="C70" s="8" t="inlineStr">
        <is>
          <t>EQP</t>
        </is>
      </c>
      <c r="D70" s="8" t="inlineStr">
        <is>
          <t>PREVISTO</t>
        </is>
      </c>
      <c r="E70" s="9">
        <f>SUMIFS(E$72:E$91,$D$72:$D$91,"PREVISTO")</f>
        <v/>
      </c>
      <c r="F70" s="9">
        <f>SUMIFS(F$72:F$91,$D$72:$D$91,"PREVISTO")</f>
        <v/>
      </c>
      <c r="G70" s="9">
        <f>SUMIFS(G$72:G$91,$D$72:$D$91,"PREVISTO")</f>
        <v/>
      </c>
      <c r="H70" s="9">
        <f>SUMIFS(H$72:H$91,$D$72:$D$91,"PREVISTO")</f>
        <v/>
      </c>
      <c r="I70" s="9">
        <f>SUMIFS(I$72:I$91,$D$72:$D$91,"PREVISTO")</f>
        <v/>
      </c>
      <c r="J70" s="9">
        <f>SUMIFS(J$72:J$91,$D$72:$D$91,"PREVISTO")</f>
        <v/>
      </c>
      <c r="K70" s="9">
        <f>SUMIFS(K$72:K$91,$D$72:$D$91,"PREVISTO")</f>
        <v/>
      </c>
      <c r="L70" s="9">
        <f>SUMIFS(L$72:L$91,$D$72:$D$91,"PREVISTO")</f>
        <v/>
      </c>
      <c r="M70" s="9">
        <f>SUMIFS(M$72:M$91,$D$72:$D$91,"PREVISTO")</f>
        <v/>
      </c>
      <c r="N70" s="9">
        <f>SUMIFS(N$72:N$91,$D$72:$D$91,"PREVISTO")</f>
        <v/>
      </c>
      <c r="O70" s="9">
        <f>SUMIFS(O$72:O$91,$D$72:$D$91,"PREVISTO")</f>
        <v/>
      </c>
      <c r="P70" s="9">
        <f>SUMIFS(P$72:P$91,$D$72:$D$91,"PREVISTO")</f>
        <v/>
      </c>
      <c r="Q70" s="9">
        <f>SUMIFS(Q$72:Q$91,$D$72:$D$91,"PREVISTO")</f>
        <v/>
      </c>
      <c r="R70" s="9">
        <f>SUMIFS(R$72:R$91,$D$72:$D$91,"PREVISTO")</f>
        <v/>
      </c>
      <c r="S70" s="9">
        <f>SUMIFS(S$72:S$91,$D$72:$D$91,"PREVISTO")</f>
        <v/>
      </c>
      <c r="T70" s="9">
        <f>SUMIFS(T$72:T$91,$D$72:$D$91,"PREVISTO")</f>
        <v/>
      </c>
      <c r="U70" s="9">
        <f>SUMIFS(U$72:U$91,$D$72:$D$91,"PREVISTO")</f>
        <v/>
      </c>
      <c r="V70" s="9">
        <f>SUMIFS(V$72:V$91,$D$72:$D$91,"PREVISTO")</f>
        <v/>
      </c>
      <c r="W70" s="9">
        <f>SUMIFS(W$72:W$91,$D$72:$D$91,"PREVISTO")</f>
        <v/>
      </c>
      <c r="X70" s="9">
        <f>SUMIFS(X$72:X$91,$D$72:$D$91,"PREVISTO")</f>
        <v/>
      </c>
      <c r="Y70" s="9">
        <f>SUMIFS(Y$72:Y$91,$D$72:$D$91,"PREVISTO")</f>
        <v/>
      </c>
      <c r="Z70" s="9">
        <f>SUMIFS(Z$72:Z$91,$D$72:$D$91,"PREVISTO")</f>
        <v/>
      </c>
      <c r="AA70" s="9">
        <f>SUMIFS(AA$72:AA$91,$D$72:$D$91,"PREVISTO")</f>
        <v/>
      </c>
      <c r="AB70" s="9">
        <f>SUMIFS(AB$72:AB$91,$D$72:$D$91,"PREVISTO")</f>
        <v/>
      </c>
      <c r="AC70" s="9">
        <f>SUMIFS(AC$72:AC$91,$D$72:$D$91,"PREVISTO")</f>
        <v/>
      </c>
      <c r="AD70" s="9">
        <f>SUMIFS(AD$72:AD$91,$D$72:$D$91,"PREVISTO")</f>
        <v/>
      </c>
    </row>
    <row r="71">
      <c r="A71" s="8" t="inlineStr">
        <is>
          <t>3.</t>
        </is>
      </c>
      <c r="B71" s="8" t="inlineStr">
        <is>
          <t>EQUIPAMENTOS</t>
        </is>
      </c>
      <c r="C71" s="8" t="inlineStr">
        <is>
          <t>EQP</t>
        </is>
      </c>
      <c r="D71" s="8" t="inlineStr">
        <is>
          <t>REAL</t>
        </is>
      </c>
      <c r="E71" s="9">
        <f>SUMIFS(E$72:E$91,$D$72:$D$91,"REAL")</f>
        <v/>
      </c>
      <c r="F71" s="9">
        <f>SUMIFS(F$72:F$91,$D$72:$D$91,"REAL")</f>
        <v/>
      </c>
      <c r="G71" s="9">
        <f>SUMIFS(G$72:G$91,$D$72:$D$91,"REAL")</f>
        <v/>
      </c>
      <c r="H71" s="9">
        <f>SUMIFS(H$72:H$91,$D$72:$D$91,"REAL")</f>
        <v/>
      </c>
      <c r="I71" s="9">
        <f>SUMIFS(I$72:I$91,$D$72:$D$91,"REAL")</f>
        <v/>
      </c>
      <c r="J71" s="9">
        <f>SUMIFS(J$72:J$91,$D$72:$D$91,"REAL")</f>
        <v/>
      </c>
      <c r="K71" s="9">
        <f>SUMIFS(K$72:K$91,$D$72:$D$91,"REAL")</f>
        <v/>
      </c>
      <c r="L71" s="9">
        <f>SUMIFS(L$72:L$91,$D$72:$D$91,"REAL")</f>
        <v/>
      </c>
      <c r="M71" s="9">
        <f>SUMIFS(M$72:M$91,$D$72:$D$91,"REAL")</f>
        <v/>
      </c>
      <c r="N71" s="9">
        <f>SUMIFS(N$72:N$91,$D$72:$D$91,"REAL")</f>
        <v/>
      </c>
      <c r="O71" s="9">
        <f>SUMIFS(O$72:O$91,$D$72:$D$91,"REAL")</f>
        <v/>
      </c>
      <c r="P71" s="9">
        <f>SUMIFS(P$72:P$91,$D$72:$D$91,"REAL")</f>
        <v/>
      </c>
      <c r="Q71" s="9">
        <f>SUMIFS(Q$72:Q$91,$D$72:$D$91,"REAL")</f>
        <v/>
      </c>
      <c r="R71" s="9">
        <f>SUMIFS(R$72:R$91,$D$72:$D$91,"REAL")</f>
        <v/>
      </c>
      <c r="S71" s="9">
        <f>SUMIFS(S$72:S$91,$D$72:$D$91,"REAL")</f>
        <v/>
      </c>
      <c r="T71" s="9">
        <f>SUMIFS(T$72:T$91,$D$72:$D$91,"REAL")</f>
        <v/>
      </c>
      <c r="U71" s="9">
        <f>SUMIFS(U$72:U$91,$D$72:$D$91,"REAL")</f>
        <v/>
      </c>
      <c r="V71" s="9">
        <f>SUMIFS(V$72:V$91,$D$72:$D$91,"REAL")</f>
        <v/>
      </c>
      <c r="W71" s="9">
        <f>SUMIFS(W$72:W$91,$D$72:$D$91,"REAL")</f>
        <v/>
      </c>
      <c r="X71" s="9">
        <f>SUMIFS(X$72:X$91,$D$72:$D$91,"REAL")</f>
        <v/>
      </c>
      <c r="Y71" s="9">
        <f>SUMIFS(Y$72:Y$91,$D$72:$D$91,"REAL")</f>
        <v/>
      </c>
      <c r="Z71" s="9">
        <f>SUMIFS(Z$72:Z$91,$D$72:$D$91,"REAL")</f>
        <v/>
      </c>
      <c r="AA71" s="9">
        <f>SUMIFS(AA$72:AA$91,$D$72:$D$91,"REAL")</f>
        <v/>
      </c>
      <c r="AB71" s="9">
        <f>SUMIFS(AB$72:AB$91,$D$72:$D$91,"REAL")</f>
        <v/>
      </c>
      <c r="AC71" s="9">
        <f>SUMIFS(AC$72:AC$91,$D$72:$D$91,"REAL")</f>
        <v/>
      </c>
      <c r="AD71" s="9">
        <f>SUMIFS(AD$72:AD$91,$D$72:$D$91,"REAL")</f>
        <v/>
      </c>
    </row>
    <row r="72">
      <c r="A72" s="10" t="inlineStr">
        <is>
          <t>3.1</t>
        </is>
      </c>
      <c r="B72" s="10" t="inlineStr">
        <is>
          <t>Guindaste</t>
        </is>
      </c>
      <c r="C72" s="10" t="inlineStr">
        <is>
          <t>EQP</t>
        </is>
      </c>
      <c r="D72" s="10" t="inlineStr">
        <is>
          <t>PREVISTO</t>
        </is>
      </c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</row>
    <row r="73">
      <c r="A73" s="10" t="inlineStr">
        <is>
          <t>3.1</t>
        </is>
      </c>
      <c r="B73" s="10" t="inlineStr">
        <is>
          <t>Guindaste</t>
        </is>
      </c>
      <c r="C73" s="10" t="inlineStr">
        <is>
          <t>EQP</t>
        </is>
      </c>
      <c r="D73" s="10" t="inlineStr">
        <is>
          <t>REAL</t>
        </is>
      </c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</row>
    <row r="74">
      <c r="A74" s="10" t="inlineStr">
        <is>
          <t>3.2</t>
        </is>
      </c>
      <c r="B74" s="10" t="inlineStr">
        <is>
          <t>Munck</t>
        </is>
      </c>
      <c r="C74" s="10" t="inlineStr">
        <is>
          <t>EQP</t>
        </is>
      </c>
      <c r="D74" s="10" t="inlineStr">
        <is>
          <t>PREVISTO</t>
        </is>
      </c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</row>
    <row r="75">
      <c r="A75" s="10" t="inlineStr">
        <is>
          <t>3.2</t>
        </is>
      </c>
      <c r="B75" s="10" t="inlineStr">
        <is>
          <t>Munck</t>
        </is>
      </c>
      <c r="C75" s="10" t="inlineStr">
        <is>
          <t>EQP</t>
        </is>
      </c>
      <c r="D75" s="10" t="inlineStr">
        <is>
          <t>REAL</t>
        </is>
      </c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</row>
    <row r="76">
      <c r="A76" s="10" t="inlineStr">
        <is>
          <t>3.3</t>
        </is>
      </c>
      <c r="B76" s="10" t="inlineStr">
        <is>
          <t>Manipulador telescópico</t>
        </is>
      </c>
      <c r="C76" s="10" t="inlineStr">
        <is>
          <t>EQP</t>
        </is>
      </c>
      <c r="D76" s="10" t="inlineStr">
        <is>
          <t>PREVISTO</t>
        </is>
      </c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</row>
    <row r="77">
      <c r="A77" s="10" t="inlineStr">
        <is>
          <t>3.3</t>
        </is>
      </c>
      <c r="B77" s="10" t="inlineStr">
        <is>
          <t>Manipulador telescópico</t>
        </is>
      </c>
      <c r="C77" s="10" t="inlineStr">
        <is>
          <t>EQP</t>
        </is>
      </c>
      <c r="D77" s="10" t="inlineStr">
        <is>
          <t>REAL</t>
        </is>
      </c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</row>
    <row r="78">
      <c r="A78" s="10" t="inlineStr">
        <is>
          <t>3.4</t>
        </is>
      </c>
      <c r="B78" s="10" t="inlineStr">
        <is>
          <t>Escavadeira</t>
        </is>
      </c>
      <c r="C78" s="10" t="inlineStr">
        <is>
          <t>EQP</t>
        </is>
      </c>
      <c r="D78" s="10" t="inlineStr">
        <is>
          <t>PREVISTO</t>
        </is>
      </c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</row>
    <row r="79">
      <c r="A79" s="10" t="inlineStr">
        <is>
          <t>3.4</t>
        </is>
      </c>
      <c r="B79" s="10" t="inlineStr">
        <is>
          <t>Escavadeira</t>
        </is>
      </c>
      <c r="C79" s="10" t="inlineStr">
        <is>
          <t>EQP</t>
        </is>
      </c>
      <c r="D79" s="10" t="inlineStr">
        <is>
          <t>REAL</t>
        </is>
      </c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</row>
    <row r="80">
      <c r="A80" s="10" t="inlineStr">
        <is>
          <t>3.5</t>
        </is>
      </c>
      <c r="B80" s="10" t="inlineStr">
        <is>
          <t>Retroescavadeira</t>
        </is>
      </c>
      <c r="C80" s="10" t="inlineStr">
        <is>
          <t>EQP</t>
        </is>
      </c>
      <c r="D80" s="10" t="inlineStr">
        <is>
          <t>PREVISTO</t>
        </is>
      </c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</row>
    <row r="81">
      <c r="A81" s="10" t="inlineStr">
        <is>
          <t>3.5</t>
        </is>
      </c>
      <c r="B81" s="10" t="inlineStr">
        <is>
          <t>Retroescavadeira</t>
        </is>
      </c>
      <c r="C81" s="10" t="inlineStr">
        <is>
          <t>EQP</t>
        </is>
      </c>
      <c r="D81" s="10" t="inlineStr">
        <is>
          <t>REAL</t>
        </is>
      </c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</row>
    <row r="82">
      <c r="A82" s="10" t="inlineStr">
        <is>
          <t>3.6</t>
        </is>
      </c>
      <c r="B82" s="10" t="inlineStr">
        <is>
          <t>Caminhão basculante</t>
        </is>
      </c>
      <c r="C82" s="10" t="inlineStr">
        <is>
          <t>EQP</t>
        </is>
      </c>
      <c r="D82" s="10" t="inlineStr">
        <is>
          <t>PREVISTO</t>
        </is>
      </c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</row>
    <row r="83">
      <c r="A83" s="10" t="inlineStr">
        <is>
          <t>3.6</t>
        </is>
      </c>
      <c r="B83" s="10" t="inlineStr">
        <is>
          <t>Caminhão basculante</t>
        </is>
      </c>
      <c r="C83" s="10" t="inlineStr">
        <is>
          <t>EQP</t>
        </is>
      </c>
      <c r="D83" s="10" t="inlineStr">
        <is>
          <t>REAL</t>
        </is>
      </c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</row>
    <row r="84">
      <c r="A84" s="10" t="inlineStr">
        <is>
          <t>3.7</t>
        </is>
      </c>
      <c r="B84" s="10" t="inlineStr">
        <is>
          <t>Plataforma elevatória</t>
        </is>
      </c>
      <c r="C84" s="10" t="inlineStr">
        <is>
          <t>EQP</t>
        </is>
      </c>
      <c r="D84" s="10" t="inlineStr">
        <is>
          <t>PREVISTO</t>
        </is>
      </c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</row>
    <row r="85">
      <c r="A85" s="10" t="inlineStr">
        <is>
          <t>3.7</t>
        </is>
      </c>
      <c r="B85" s="10" t="inlineStr">
        <is>
          <t>Plataforma elevatória</t>
        </is>
      </c>
      <c r="C85" s="10" t="inlineStr">
        <is>
          <t>EQP</t>
        </is>
      </c>
      <c r="D85" s="10" t="inlineStr">
        <is>
          <t>REAL</t>
        </is>
      </c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</row>
    <row r="86">
      <c r="A86" s="10" t="inlineStr">
        <is>
          <t>3.8</t>
        </is>
      </c>
      <c r="B86" s="10" t="inlineStr">
        <is>
          <t>Máquina de solda</t>
        </is>
      </c>
      <c r="C86" s="10" t="inlineStr">
        <is>
          <t>EQP</t>
        </is>
      </c>
      <c r="D86" s="10" t="inlineStr">
        <is>
          <t>PREVISTO</t>
        </is>
      </c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</row>
    <row r="87">
      <c r="A87" s="10" t="inlineStr">
        <is>
          <t>3.8</t>
        </is>
      </c>
      <c r="B87" s="10" t="inlineStr">
        <is>
          <t>Máquina de solda</t>
        </is>
      </c>
      <c r="C87" s="10" t="inlineStr">
        <is>
          <t>EQP</t>
        </is>
      </c>
      <c r="D87" s="10" t="inlineStr">
        <is>
          <t>REAL</t>
        </is>
      </c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</row>
    <row r="88">
      <c r="A88" s="10" t="inlineStr">
        <is>
          <t>3.9</t>
        </is>
      </c>
      <c r="B88" s="10" t="inlineStr">
        <is>
          <t>Compressor</t>
        </is>
      </c>
      <c r="C88" s="10" t="inlineStr">
        <is>
          <t>EQP</t>
        </is>
      </c>
      <c r="D88" s="10" t="inlineStr">
        <is>
          <t>PREVISTO</t>
        </is>
      </c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</row>
    <row r="89">
      <c r="A89" s="10" t="inlineStr">
        <is>
          <t>3.9</t>
        </is>
      </c>
      <c r="B89" s="10" t="inlineStr">
        <is>
          <t>Compressor</t>
        </is>
      </c>
      <c r="C89" s="10" t="inlineStr">
        <is>
          <t>EQP</t>
        </is>
      </c>
      <c r="D89" s="10" t="inlineStr">
        <is>
          <t>REAL</t>
        </is>
      </c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</row>
    <row r="90">
      <c r="A90" s="10" t="inlineStr">
        <is>
          <t>3.10</t>
        </is>
      </c>
      <c r="B90" s="10" t="inlineStr">
        <is>
          <t>Gerador</t>
        </is>
      </c>
      <c r="C90" s="10" t="inlineStr">
        <is>
          <t>EQP</t>
        </is>
      </c>
      <c r="D90" s="10" t="inlineStr">
        <is>
          <t>PREVISTO</t>
        </is>
      </c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</row>
    <row r="91">
      <c r="A91" s="10" t="inlineStr">
        <is>
          <t>3.10</t>
        </is>
      </c>
      <c r="B91" s="10" t="inlineStr">
        <is>
          <t>Gerador</t>
        </is>
      </c>
      <c r="C91" s="10" t="inlineStr">
        <is>
          <t>EQP</t>
        </is>
      </c>
      <c r="D91" s="10" t="inlineStr">
        <is>
          <t>REAL</t>
        </is>
      </c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</row>
    <row r="93">
      <c r="A93" s="12" t="n"/>
      <c r="B93" s="12" t="inlineStr">
        <is>
          <t>TOTAL GERAL — EFETIVO (MOI + MOD)</t>
        </is>
      </c>
      <c r="C93" s="12" t="n"/>
      <c r="D93" s="12" t="inlineStr">
        <is>
          <t>PREVISTO</t>
        </is>
      </c>
      <c r="E93" s="13">
        <f>E6+E39</f>
        <v/>
      </c>
      <c r="F93" s="13">
        <f>F6+F39</f>
        <v/>
      </c>
      <c r="G93" s="13">
        <f>G6+G39</f>
        <v/>
      </c>
      <c r="H93" s="13">
        <f>H6+H39</f>
        <v/>
      </c>
      <c r="I93" s="13">
        <f>I6+I39</f>
        <v/>
      </c>
      <c r="J93" s="13">
        <f>J6+J39</f>
        <v/>
      </c>
      <c r="K93" s="13">
        <f>K6+K39</f>
        <v/>
      </c>
      <c r="L93" s="13">
        <f>L6+L39</f>
        <v/>
      </c>
      <c r="M93" s="13">
        <f>M6+M39</f>
        <v/>
      </c>
      <c r="N93" s="13">
        <f>N6+N39</f>
        <v/>
      </c>
      <c r="O93" s="13">
        <f>O6+O39</f>
        <v/>
      </c>
      <c r="P93" s="13">
        <f>P6+P39</f>
        <v/>
      </c>
      <c r="Q93" s="13">
        <f>Q6+Q39</f>
        <v/>
      </c>
      <c r="R93" s="13">
        <f>R6+R39</f>
        <v/>
      </c>
      <c r="S93" s="13">
        <f>S6+S39</f>
        <v/>
      </c>
      <c r="T93" s="13">
        <f>T6+T39</f>
        <v/>
      </c>
      <c r="U93" s="13">
        <f>U6+U39</f>
        <v/>
      </c>
      <c r="V93" s="13">
        <f>V6+V39</f>
        <v/>
      </c>
      <c r="W93" s="13">
        <f>W6+W39</f>
        <v/>
      </c>
      <c r="X93" s="13">
        <f>X6+X39</f>
        <v/>
      </c>
      <c r="Y93" s="13">
        <f>Y6+Y39</f>
        <v/>
      </c>
      <c r="Z93" s="13">
        <f>Z6+Z39</f>
        <v/>
      </c>
      <c r="AA93" s="13">
        <f>AA6+AA39</f>
        <v/>
      </c>
      <c r="AB93" s="13">
        <f>AB6+AB39</f>
        <v/>
      </c>
      <c r="AC93" s="13">
        <f>AC6+AC39</f>
        <v/>
      </c>
      <c r="AD93" s="13">
        <f>AD6+AD39</f>
        <v/>
      </c>
    </row>
    <row r="94">
      <c r="A94" s="12" t="n"/>
      <c r="B94" s="12" t="inlineStr">
        <is>
          <t>TOTAL GERAL — EFETIVO (MOI + MOD)</t>
        </is>
      </c>
      <c r="C94" s="12" t="n"/>
      <c r="D94" s="12" t="inlineStr">
        <is>
          <t>REAL</t>
        </is>
      </c>
      <c r="E94" s="13">
        <f>E7+E40</f>
        <v/>
      </c>
      <c r="F94" s="13">
        <f>F7+F40</f>
        <v/>
      </c>
      <c r="G94" s="13">
        <f>G7+G40</f>
        <v/>
      </c>
      <c r="H94" s="13">
        <f>H7+H40</f>
        <v/>
      </c>
      <c r="I94" s="13">
        <f>I7+I40</f>
        <v/>
      </c>
      <c r="J94" s="13">
        <f>J7+J40</f>
        <v/>
      </c>
      <c r="K94" s="13">
        <f>K7+K40</f>
        <v/>
      </c>
      <c r="L94" s="13">
        <f>L7+L40</f>
        <v/>
      </c>
      <c r="M94" s="13">
        <f>M7+M40</f>
        <v/>
      </c>
      <c r="N94" s="13">
        <f>N7+N40</f>
        <v/>
      </c>
      <c r="O94" s="13">
        <f>O7+O40</f>
        <v/>
      </c>
      <c r="P94" s="13">
        <f>P7+P40</f>
        <v/>
      </c>
      <c r="Q94" s="13">
        <f>Q7+Q40</f>
        <v/>
      </c>
      <c r="R94" s="13">
        <f>R7+R40</f>
        <v/>
      </c>
      <c r="S94" s="13">
        <f>S7+S40</f>
        <v/>
      </c>
      <c r="T94" s="13">
        <f>T7+T40</f>
        <v/>
      </c>
      <c r="U94" s="13">
        <f>U7+U40</f>
        <v/>
      </c>
      <c r="V94" s="13">
        <f>V7+V40</f>
        <v/>
      </c>
      <c r="W94" s="13">
        <f>W7+W40</f>
        <v/>
      </c>
      <c r="X94" s="13">
        <f>X7+X40</f>
        <v/>
      </c>
      <c r="Y94" s="13">
        <f>Y7+Y40</f>
        <v/>
      </c>
      <c r="Z94" s="13">
        <f>Z7+Z40</f>
        <v/>
      </c>
      <c r="AA94" s="13">
        <f>AA7+AA40</f>
        <v/>
      </c>
      <c r="AB94" s="13">
        <f>AB7+AB40</f>
        <v/>
      </c>
      <c r="AC94" s="13">
        <f>AC7+AC40</f>
        <v/>
      </c>
      <c r="AD94" s="13">
        <f>AD7+AD40</f>
        <v/>
      </c>
    </row>
    <row r="95">
      <c r="A95" s="14" t="n"/>
      <c r="B95" s="14" t="inlineStr">
        <is>
          <t>ADERÊNCIA DO EFETIVO (real / previsto)</t>
        </is>
      </c>
      <c r="C95" s="14" t="n"/>
      <c r="D95" s="14" t="n"/>
      <c r="E95" s="15">
        <f>IFERROR(E94/E93,0)</f>
        <v/>
      </c>
      <c r="F95" s="15">
        <f>IFERROR(F94/F93,0)</f>
        <v/>
      </c>
      <c r="G95" s="15">
        <f>IFERROR(G94/G93,0)</f>
        <v/>
      </c>
      <c r="H95" s="15">
        <f>IFERROR(H94/H93,0)</f>
        <v/>
      </c>
      <c r="I95" s="15">
        <f>IFERROR(I94/I93,0)</f>
        <v/>
      </c>
      <c r="J95" s="15">
        <f>IFERROR(J94/J93,0)</f>
        <v/>
      </c>
      <c r="K95" s="15">
        <f>IFERROR(K94/K93,0)</f>
        <v/>
      </c>
      <c r="L95" s="15">
        <f>IFERROR(L94/L93,0)</f>
        <v/>
      </c>
      <c r="M95" s="15">
        <f>IFERROR(M94/M93,0)</f>
        <v/>
      </c>
      <c r="N95" s="15">
        <f>IFERROR(N94/N93,0)</f>
        <v/>
      </c>
      <c r="O95" s="15">
        <f>IFERROR(O94/O93,0)</f>
        <v/>
      </c>
      <c r="P95" s="15">
        <f>IFERROR(P94/P93,0)</f>
        <v/>
      </c>
      <c r="Q95" s="15">
        <f>IFERROR(Q94/Q93,0)</f>
        <v/>
      </c>
      <c r="R95" s="15">
        <f>IFERROR(R94/R93,0)</f>
        <v/>
      </c>
      <c r="S95" s="15">
        <f>IFERROR(S94/S93,0)</f>
        <v/>
      </c>
      <c r="T95" s="15">
        <f>IFERROR(T94/T93,0)</f>
        <v/>
      </c>
      <c r="U95" s="15">
        <f>IFERROR(U94/U93,0)</f>
        <v/>
      </c>
      <c r="V95" s="15">
        <f>IFERROR(V94/V93,0)</f>
        <v/>
      </c>
      <c r="W95" s="15">
        <f>IFERROR(W94/W93,0)</f>
        <v/>
      </c>
      <c r="X95" s="15">
        <f>IFERROR(X94/X93,0)</f>
        <v/>
      </c>
      <c r="Y95" s="15">
        <f>IFERROR(Y94/Y93,0)</f>
        <v/>
      </c>
      <c r="Z95" s="15">
        <f>IFERROR(Z94/Z93,0)</f>
        <v/>
      </c>
      <c r="AA95" s="15">
        <f>IFERROR(AA94/AA93,0)</f>
        <v/>
      </c>
      <c r="AB95" s="15">
        <f>IFERROR(AB94/AB93,0)</f>
        <v/>
      </c>
      <c r="AC95" s="15">
        <f>IFERROR(AC94/AC93,0)</f>
        <v/>
      </c>
      <c r="AD95" s="15">
        <f>IFERROR(AD94/AD93,0)</f>
        <v/>
      </c>
    </row>
  </sheetData>
  <mergeCells count="2">
    <mergeCell ref="A2:A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" t="inlineStr">
        <is>
          <t>HISTOGRAMAS</t>
        </is>
      </c>
    </row>
    <row r="2">
      <c r="A2" s="2" t="inlineStr">
        <is>
          <t>Efetivo total e equipamentos — previsto x real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2026-09-18T12:11:43Z</dcterms:created>
  <dcterms:modified xmlns:dcterms="http://purl.org/dc/terms/" xmlns:xsi="http://www.w3.org/2001/XMLSchema-instance" xsi:type="dcterms:W3CDTF">2026-09-18T12:11:43Z</dcterms:modified>
</cp:coreProperties>
</file>