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RD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<sst xmlns="http://schemas.openxmlformats.org/spreadsheetml/2006/main" count="130" uniqueCount="116">
  <si>
    <t xml:space="preserve">GPS-PLN-ANX-V — INSTRUÇÕES</t>
  </si>
  <si>
    <t xml:space="preserve">GPlanSiS|Planejamento · rev. 0</t>
  </si>
  <si>
    <t xml:space="preserve">O RDO é instrumento de comunicação contratual: emitir diariamente, até as 10h do dia útil seguinte, com os registros do dia anterior.</t>
  </si>
  <si>
    <t xml:space="preserve">Preencher apenas as células azuis; totais, HH, percentuais e classificação de desvio são calculados.</t>
  </si>
  <si>
    <t xml:space="preserve">Todo serviço registrado deve trazer EDT, quantidade do dia, quantidade acumulada e evidência — é a base de auditoria da medição.</t>
  </si>
  <si>
    <t xml:space="preserve">Registrar horas paradas e o motivo sempre que houver improdutividade; RDO sem esse registro não sustenta pleito posterior.</t>
  </si>
  <si>
    <t xml:space="preserve">Desvio de escopo, prazo ou custo não entra no RDO: comunicar por carta específica à gerência de implantação.</t>
  </si>
  <si>
    <t xml:space="preserve">RDO entregue fora do prazo não é válido para fins de futuras reclamações.</t>
  </si>
  <si>
    <t xml:space="preserve">GPS-PLN-ANX-V — RELATÓRIO DIÁRIO DE OBRA (RDO)</t>
  </si>
  <si>
    <t xml:space="preserve">GPlanSiS|Planejamento · anexo do PRO-GPS-PLN-001 · rev. 0 · emitir até as 10h do dia útil seguinte</t>
  </si>
  <si>
    <t xml:space="preserve">IDENTIFICAÇÃO</t>
  </si>
  <si>
    <t xml:space="preserve">RDO nº</t>
  </si>
  <si>
    <t xml:space="preserve">Data</t>
  </si>
  <si>
    <t xml:space="preserve">Dia da semana</t>
  </si>
  <si>
    <t xml:space="preserve">Folha</t>
  </si>
  <si>
    <t xml:space="preserve">1 de 1</t>
  </si>
  <si>
    <t xml:space="preserve">Contratante</t>
  </si>
  <si>
    <t xml:space="preserve">XXXXXXXX</t>
  </si>
  <si>
    <t xml:space="preserve">Contratada</t>
  </si>
  <si>
    <t xml:space="preserve">Contrato nº</t>
  </si>
  <si>
    <t xml:space="preserve">Local / área</t>
  </si>
  <si>
    <t xml:space="preserve">Escopo</t>
  </si>
  <si>
    <t xml:space="preserve">Tema do DDS</t>
  </si>
  <si>
    <t xml:space="preserve">Responsável técnico</t>
  </si>
  <si>
    <t xml:space="preserve">Encarregado geral</t>
  </si>
  <si>
    <t xml:space="preserve">PRAZO E AVANÇO FÍSICO</t>
  </si>
  <si>
    <t xml:space="preserve">Término contratual</t>
  </si>
  <si>
    <t xml:space="preserve">Projeção de término</t>
  </si>
  <si>
    <t xml:space="preserve">% previsto</t>
  </si>
  <si>
    <t xml:space="preserve">% real</t>
  </si>
  <si>
    <t xml:space="preserve">Prazo faltante (dias)</t>
  </si>
  <si>
    <t xml:space="preserve">Dias de atraso</t>
  </si>
  <si>
    <t xml:space="preserve">Desvio absoluto</t>
  </si>
  <si>
    <t xml:space="preserve">Situação</t>
  </si>
  <si>
    <t xml:space="preserve">JORNADA, CLIMA E CONDIÇÕES</t>
  </si>
  <si>
    <t xml:space="preserve">TURNO</t>
  </si>
  <si>
    <t xml:space="preserve">INÍCIO</t>
  </si>
  <si>
    <t xml:space="preserve">TÉRMINO</t>
  </si>
  <si>
    <t xml:space="preserve">HORAS</t>
  </si>
  <si>
    <t xml:space="preserve">PERÍODO</t>
  </si>
  <si>
    <t xml:space="preserve">CLIMA</t>
  </si>
  <si>
    <t xml:space="preserve">CONDIÇÃO DO SOLO</t>
  </si>
  <si>
    <t xml:space="preserve">PARALISAÇÃO (h)</t>
  </si>
  <si>
    <t xml:space="preserve">MOTIVO DA PARALISAÇÃO</t>
  </si>
  <si>
    <t xml:space="preserve">1º turno</t>
  </si>
  <si>
    <t xml:space="preserve">07:00</t>
  </si>
  <si>
    <t xml:space="preserve">17:00</t>
  </si>
  <si>
    <t xml:space="preserve">Manhã</t>
  </si>
  <si>
    <t xml:space="preserve">Praticável</t>
  </si>
  <si>
    <t xml:space="preserve">2º turno</t>
  </si>
  <si>
    <t xml:space="preserve">Tarde</t>
  </si>
  <si>
    <t xml:space="preserve">Noite</t>
  </si>
  <si>
    <t xml:space="preserve">Impraticável</t>
  </si>
  <si>
    <t xml:space="preserve">Pluviometria do dia (mm)</t>
  </si>
  <si>
    <t xml:space="preserve">Total de horas paradas</t>
  </si>
  <si>
    <t xml:space="preserve">EFETIVO E EQUIPAMENTOS</t>
  </si>
  <si>
    <t xml:space="preserve">MÃO DE OBRA INDIRETA</t>
  </si>
  <si>
    <t xml:space="preserve">PRES.</t>
  </si>
  <si>
    <t xml:space="preserve">AUS.</t>
  </si>
  <si>
    <t xml:space="preserve">TOTAL</t>
  </si>
  <si>
    <t xml:space="preserve">MÃO DE OBRA DIRETA</t>
  </si>
  <si>
    <t xml:space="preserve">EQUIPAMENTOS</t>
  </si>
  <si>
    <t xml:space="preserve">PREV.</t>
  </si>
  <si>
    <t xml:space="preserve">REAL</t>
  </si>
  <si>
    <t xml:space="preserve">DISP. %</t>
  </si>
  <si>
    <t xml:space="preserve">Coordenador geral</t>
  </si>
  <si>
    <t xml:space="preserve">Encarregado</t>
  </si>
  <si>
    <t xml:space="preserve">Guindaste</t>
  </si>
  <si>
    <t xml:space="preserve">Engenheiro de campo</t>
  </si>
  <si>
    <t xml:space="preserve">Soldador</t>
  </si>
  <si>
    <t xml:space="preserve">Munck</t>
  </si>
  <si>
    <t xml:space="preserve">Técnico de planejamento</t>
  </si>
  <si>
    <t xml:space="preserve">Montador mecânico</t>
  </si>
  <si>
    <t xml:space="preserve">Escavadeira</t>
  </si>
  <si>
    <t xml:space="preserve">Técnico de segurança</t>
  </si>
  <si>
    <t xml:space="preserve">Eletricista</t>
  </si>
  <si>
    <t xml:space="preserve">Caminhão basculante</t>
  </si>
  <si>
    <t xml:space="preserve">Almoxarife</t>
  </si>
  <si>
    <t xml:space="preserve">Carpinteiro</t>
  </si>
  <si>
    <t xml:space="preserve">Plataforma elevatória</t>
  </si>
  <si>
    <t xml:space="preserve">Armador</t>
  </si>
  <si>
    <t xml:space="preserve">Ajudante</t>
  </si>
  <si>
    <t xml:space="preserve">TOTAL MOI</t>
  </si>
  <si>
    <t xml:space="preserve">TOTAL MOD</t>
  </si>
  <si>
    <t xml:space="preserve">TOTAL EQUIPAMENTOS</t>
  </si>
  <si>
    <t xml:space="preserve">EFETIVO TOTAL (MOI + MOD)</t>
  </si>
  <si>
    <t xml:space="preserve">% presença</t>
  </si>
  <si>
    <t xml:space="preserve">HH do dia</t>
  </si>
  <si>
    <t xml:space="preserve">SERVIÇOS EXECUTADOS NO DIA</t>
  </si>
  <si>
    <t xml:space="preserve">EDT</t>
  </si>
  <si>
    <t xml:space="preserve">DISCIPLINA</t>
  </si>
  <si>
    <t xml:space="preserve">DESCRIÇÃO DO SERVIÇO</t>
  </si>
  <si>
    <t xml:space="preserve">UNID.</t>
  </si>
  <si>
    <t xml:space="preserve">QTD. DIA</t>
  </si>
  <si>
    <t xml:space="preserve">QTD. ACUM.</t>
  </si>
  <si>
    <t xml:space="preserve">LOCAL / TAG</t>
  </si>
  <si>
    <t xml:space="preserve">EVIDÊNCIA</t>
  </si>
  <si>
    <t xml:space="preserve">1.5.2</t>
  </si>
  <si>
    <t xml:space="preserve">Tubulação</t>
  </si>
  <si>
    <t xml:space="preserve">Montagem de spools — linha 10-P-101</t>
  </si>
  <si>
    <t xml:space="preserve">TON</t>
  </si>
  <si>
    <t xml:space="preserve">Área 100 / EL. 12,0</t>
  </si>
  <si>
    <t xml:space="preserve">Foto + status do spool</t>
  </si>
  <si>
    <t xml:space="preserve">OCORRÊNCIAS, PENDÊNCIAS E SSMA</t>
  </si>
  <si>
    <t xml:space="preserve">TIPO</t>
  </si>
  <si>
    <t xml:space="preserve">DESCRIÇÃO DA OCORRÊNCIA</t>
  </si>
  <si>
    <t xml:space="preserve">IMPACTO</t>
  </si>
  <si>
    <t xml:space="preserve">AÇÃO ADOTADA</t>
  </si>
  <si>
    <t xml:space="preserve">RESPONSÁVEL</t>
  </si>
  <si>
    <t xml:space="preserve">PRAZO</t>
  </si>
  <si>
    <t xml:space="preserve">Atenção: desvios de escopo, prazo e custo não são registrados no RDO — devem ser comunicados por carta específica à gerência de implantação.</t>
  </si>
  <si>
    <t xml:space="preserve">ASSINATURAS</t>
  </si>
  <si>
    <t xml:space="preserve">CONTRATADA</t>
  </si>
  <si>
    <t xml:space="preserve">FISCALIZAÇÃO DE CAMPO</t>
  </si>
  <si>
    <t xml:space="preserve">GERENCIADORA</t>
  </si>
  <si>
    <t xml:space="preserve">CONTRATANTE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</si>
</sst>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.00%"/>
    <numFmt numFmtId="167" formatCode="0"/>
    <numFmt numFmtId="168" formatCode="0.0"/>
    <numFmt numFmtId="169" formatCode="0%"/>
    <numFmt numFmtId="170" formatCode="General"/>
    <numFmt numFmtId="171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2D333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D3336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7D828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3336"/>
        <bgColor rgb="FF333300"/>
      </patternFill>
    </fill>
    <fill>
      <patternFill patternType="solid">
        <fgColor rgb="FFEDEFF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CBF"/>
      </left>
      <right style="thin">
        <color rgb="FFB7BCBF"/>
      </right>
      <top style="thin">
        <color rgb="FFB7BCBF"/>
      </top>
      <bottom style="thin">
        <color rgb="FFB7BCBF"/>
      </bottom>
      <diagonal/>
    </border>
    <border diagonalUp="false" diagonalDown="false">
      <left/>
      <right/>
      <top/>
      <bottom style="thin">
        <color rgb="FF2D333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CBF"/>
      <rgbColor rgb="FF7D8286"/>
      <rgbColor rgb="FF9999FF"/>
      <rgbColor rgb="FF993366"/>
      <rgbColor rgb="FFEDEF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33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22"/>
    <col collapsed="false" customWidth="true" hidden="false" outlineLevel="0" max="12" min="10" style="0" width="10"/>
    <col collapsed="false" customWidth="true" hidden="false" outlineLevel="0" max="16" min="13" style="0" width="12"/>
  </cols>
  <sheetData>
    <row r="1" customFormat="false" ht="25.5" hidden="false" customHeight="true" outlineLevel="0" collapsed="false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4" t="s">
        <v>10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15" hidden="false" customHeight="false" outlineLevel="0" collapsed="false">
      <c r="A5" s="5" t="s">
        <v>11</v>
      </c>
      <c r="B5" s="6" t="n">
        <v>1</v>
      </c>
      <c r="D5" s="5" t="s">
        <v>12</v>
      </c>
      <c r="E5" s="7" t="n">
        <v>46062</v>
      </c>
      <c r="G5" s="5" t="s">
        <v>13</v>
      </c>
      <c r="H5" s="6" t="str">
        <f aca="false">CHOOSE(WEEKDAY(E5),"Domingo","Segunda-feira","Terça-feira","Quarta-feira","Quinta-feira","Sexta-feira","Sábado")</f>
        <v>Segunda-feira</v>
      </c>
      <c r="J5" s="5" t="s">
        <v>14</v>
      </c>
      <c r="K5" s="6" t="s">
        <v>15</v>
      </c>
    </row>
    <row r="6" customFormat="false" ht="15" hidden="false" customHeight="false" outlineLevel="0" collapsed="false">
      <c r="A6" s="5" t="s">
        <v>16</v>
      </c>
      <c r="B6" s="6" t="s">
        <v>17</v>
      </c>
      <c r="D6" s="5" t="s">
        <v>18</v>
      </c>
      <c r="E6" s="6" t="s">
        <v>17</v>
      </c>
      <c r="G6" s="5" t="s">
        <v>19</v>
      </c>
      <c r="H6" s="6" t="s">
        <v>17</v>
      </c>
      <c r="J6" s="5" t="s">
        <v>20</v>
      </c>
      <c r="K6" s="6" t="s">
        <v>17</v>
      </c>
    </row>
    <row r="7" customFormat="false" ht="15" hidden="false" customHeight="false" outlineLevel="0" collapsed="false">
      <c r="A7" s="5" t="s">
        <v>21</v>
      </c>
      <c r="B7" s="6" t="s">
        <v>17</v>
      </c>
      <c r="D7" s="5" t="s">
        <v>22</v>
      </c>
      <c r="E7" s="6" t="s">
        <v>17</v>
      </c>
      <c r="G7" s="5" t="s">
        <v>23</v>
      </c>
      <c r="H7" s="6" t="s">
        <v>17</v>
      </c>
      <c r="J7" s="5" t="s">
        <v>24</v>
      </c>
      <c r="K7" s="6" t="s">
        <v>17</v>
      </c>
    </row>
    <row r="9" customFormat="false" ht="15" hidden="false" customHeight="false" outlineLevel="0" collapsed="false">
      <c r="A9" s="4" t="s">
        <v>25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customFormat="false" ht="15" hidden="false" customHeight="false" outlineLevel="0" collapsed="false">
      <c r="A10" s="5" t="s">
        <v>26</v>
      </c>
      <c r="B10" s="7" t="n">
        <v>46207</v>
      </c>
      <c r="D10" s="5" t="s">
        <v>27</v>
      </c>
      <c r="E10" s="7" t="n">
        <v>46221</v>
      </c>
      <c r="G10" s="5" t="s">
        <v>28</v>
      </c>
      <c r="H10" s="8" t="n">
        <v>0.25</v>
      </c>
      <c r="J10" s="5" t="s">
        <v>29</v>
      </c>
      <c r="K10" s="8" t="n">
        <v>0.225</v>
      </c>
    </row>
    <row r="11" customFormat="false" ht="15" hidden="false" customHeight="false" outlineLevel="0" collapsed="false">
      <c r="A11" s="5" t="s">
        <v>30</v>
      </c>
      <c r="B11" s="9" t="n">
        <f aca="false">B10-E5</f>
        <v>145</v>
      </c>
      <c r="D11" s="5" t="s">
        <v>31</v>
      </c>
      <c r="E11" s="9" t="n">
        <f aca="false">E10-B10</f>
        <v>14</v>
      </c>
      <c r="G11" s="5" t="s">
        <v>32</v>
      </c>
      <c r="H11" s="10" t="n">
        <f aca="false">K10-H10</f>
        <v>-0.025</v>
      </c>
      <c r="J11" s="5" t="s">
        <v>33</v>
      </c>
      <c r="K11" s="11" t="str">
        <f aca="false">IF(H11&gt;=0,"EM DIA",IF(ABS(H11)&gt;0.05,"PLANO DE AÇÃO",IF(ABS(H11)&gt;0.04,"PLANO DE RECUPERAÇÃO","ATENÇÃO")))</f>
        <v>ATENÇÃO</v>
      </c>
    </row>
    <row r="13" customFormat="false" ht="15" hidden="false" customHeight="false" outlineLevel="0" collapsed="false">
      <c r="A13" s="4" t="s">
        <v>34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customFormat="false" ht="22.35" hidden="false" customHeight="false" outlineLevel="0" collapsed="false">
      <c r="A14" s="12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2" t="s">
        <v>41</v>
      </c>
      <c r="H14" s="12" t="s">
        <v>42</v>
      </c>
      <c r="I14" s="12" t="s">
        <v>43</v>
      </c>
    </row>
    <row r="15" customFormat="false" ht="15" hidden="false" customHeight="false" outlineLevel="0" collapsed="false">
      <c r="A15" s="13" t="s">
        <v>44</v>
      </c>
      <c r="B15" s="6" t="s">
        <v>45</v>
      </c>
      <c r="C15" s="6" t="s">
        <v>46</v>
      </c>
      <c r="D15" s="6" t="n">
        <v>9</v>
      </c>
      <c r="E15" s="13" t="s">
        <v>47</v>
      </c>
      <c r="F15" s="6" t="s">
        <v>48</v>
      </c>
      <c r="G15" s="6" t="s">
        <v>48</v>
      </c>
      <c r="H15" s="6" t="n">
        <v>0</v>
      </c>
      <c r="I15" s="6"/>
    </row>
    <row r="16" customFormat="false" ht="15" hidden="false" customHeight="false" outlineLevel="0" collapsed="false">
      <c r="A16" s="13" t="s">
        <v>49</v>
      </c>
      <c r="B16" s="6"/>
      <c r="C16" s="6"/>
      <c r="D16" s="6" t="n">
        <v>0</v>
      </c>
      <c r="E16" s="13" t="s">
        <v>50</v>
      </c>
      <c r="F16" s="6" t="s">
        <v>48</v>
      </c>
      <c r="G16" s="6" t="s">
        <v>48</v>
      </c>
      <c r="H16" s="6" t="n">
        <v>0</v>
      </c>
      <c r="I16" s="6"/>
    </row>
    <row r="17" customFormat="false" ht="15" hidden="false" customHeight="false" outlineLevel="0" collapsed="false">
      <c r="A17" s="13"/>
      <c r="B17" s="13"/>
      <c r="C17" s="13"/>
      <c r="D17" s="13"/>
      <c r="E17" s="13" t="s">
        <v>51</v>
      </c>
      <c r="F17" s="6" t="s">
        <v>52</v>
      </c>
      <c r="G17" s="6" t="s">
        <v>48</v>
      </c>
      <c r="H17" s="6" t="n">
        <v>0</v>
      </c>
      <c r="I17" s="6"/>
    </row>
    <row r="18" customFormat="false" ht="15" hidden="false" customHeight="false" outlineLevel="0" collapsed="false">
      <c r="A18" s="5" t="s">
        <v>53</v>
      </c>
      <c r="C18" s="14" t="n">
        <v>0</v>
      </c>
      <c r="E18" s="5" t="s">
        <v>54</v>
      </c>
      <c r="H18" s="15" t="n">
        <f aca="false">SUM(H15:H17)</f>
        <v>0</v>
      </c>
    </row>
    <row r="20" customFormat="false" ht="15" hidden="false" customHeight="false" outlineLevel="0" collapsed="false">
      <c r="A20" s="4" t="s">
        <v>55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customFormat="false" ht="15" hidden="false" customHeight="false" outlineLevel="0" collapsed="false">
      <c r="A21" s="12" t="s">
        <v>56</v>
      </c>
      <c r="B21" s="12" t="s">
        <v>57</v>
      </c>
      <c r="C21" s="12" t="s">
        <v>58</v>
      </c>
      <c r="D21" s="12" t="s">
        <v>59</v>
      </c>
      <c r="E21" s="12" t="s">
        <v>60</v>
      </c>
      <c r="F21" s="12" t="s">
        <v>57</v>
      </c>
      <c r="G21" s="12" t="s">
        <v>58</v>
      </c>
      <c r="H21" s="12" t="s">
        <v>59</v>
      </c>
      <c r="I21" s="12" t="s">
        <v>61</v>
      </c>
      <c r="J21" s="12" t="s">
        <v>62</v>
      </c>
      <c r="K21" s="12" t="s">
        <v>63</v>
      </c>
      <c r="L21" s="12" t="s">
        <v>64</v>
      </c>
    </row>
    <row r="22" customFormat="false" ht="15" hidden="false" customHeight="false" outlineLevel="0" collapsed="false">
      <c r="A22" s="6" t="s">
        <v>65</v>
      </c>
      <c r="B22" s="6"/>
      <c r="C22" s="6"/>
      <c r="D22" s="13" t="n">
        <f aca="false">IFERROR(B22+C22,0)</f>
        <v>0</v>
      </c>
      <c r="E22" s="6" t="s">
        <v>66</v>
      </c>
      <c r="F22" s="6"/>
      <c r="G22" s="6"/>
      <c r="H22" s="13" t="n">
        <f aca="false">IFERROR(F22+G22,0)</f>
        <v>0</v>
      </c>
      <c r="I22" s="6" t="s">
        <v>67</v>
      </c>
      <c r="J22" s="6"/>
      <c r="K22" s="6"/>
      <c r="L22" s="16" t="n">
        <f aca="false">IFERROR(K22/J22,0)</f>
        <v>0</v>
      </c>
    </row>
    <row r="23" customFormat="false" ht="15" hidden="false" customHeight="false" outlineLevel="0" collapsed="false">
      <c r="A23" s="6" t="s">
        <v>68</v>
      </c>
      <c r="B23" s="6"/>
      <c r="C23" s="6"/>
      <c r="D23" s="13" t="n">
        <f aca="false">IFERROR(B23+C23,0)</f>
        <v>0</v>
      </c>
      <c r="E23" s="6" t="s">
        <v>69</v>
      </c>
      <c r="F23" s="6"/>
      <c r="G23" s="6"/>
      <c r="H23" s="13" t="n">
        <f aca="false">IFERROR(F23+G23,0)</f>
        <v>0</v>
      </c>
      <c r="I23" s="6" t="s">
        <v>70</v>
      </c>
      <c r="J23" s="6"/>
      <c r="K23" s="6"/>
      <c r="L23" s="16" t="n">
        <f aca="false">IFERROR(K23/J23,0)</f>
        <v>0</v>
      </c>
    </row>
    <row r="24" customFormat="false" ht="15" hidden="false" customHeight="false" outlineLevel="0" collapsed="false">
      <c r="A24" s="6" t="s">
        <v>71</v>
      </c>
      <c r="B24" s="6"/>
      <c r="C24" s="6"/>
      <c r="D24" s="13" t="n">
        <f aca="false">IFERROR(B24+C24,0)</f>
        <v>0</v>
      </c>
      <c r="E24" s="6" t="s">
        <v>72</v>
      </c>
      <c r="F24" s="6"/>
      <c r="G24" s="6"/>
      <c r="H24" s="13" t="n">
        <f aca="false">IFERROR(F24+G24,0)</f>
        <v>0</v>
      </c>
      <c r="I24" s="6" t="s">
        <v>73</v>
      </c>
      <c r="J24" s="6"/>
      <c r="K24" s="6"/>
      <c r="L24" s="16" t="n">
        <f aca="false">IFERROR(K24/J24,0)</f>
        <v>0</v>
      </c>
    </row>
    <row r="25" customFormat="false" ht="15" hidden="false" customHeight="false" outlineLevel="0" collapsed="false">
      <c r="A25" s="6" t="s">
        <v>74</v>
      </c>
      <c r="B25" s="6"/>
      <c r="C25" s="6"/>
      <c r="D25" s="13" t="n">
        <f aca="false">IFERROR(B25+C25,0)</f>
        <v>0</v>
      </c>
      <c r="E25" s="6" t="s">
        <v>75</v>
      </c>
      <c r="F25" s="6"/>
      <c r="G25" s="6"/>
      <c r="H25" s="13" t="n">
        <f aca="false">IFERROR(F25+G25,0)</f>
        <v>0</v>
      </c>
      <c r="I25" s="6" t="s">
        <v>76</v>
      </c>
      <c r="J25" s="6"/>
      <c r="K25" s="6"/>
      <c r="L25" s="16" t="n">
        <f aca="false">IFERROR(K25/J25,0)</f>
        <v>0</v>
      </c>
    </row>
    <row r="26" customFormat="false" ht="15" hidden="false" customHeight="false" outlineLevel="0" collapsed="false">
      <c r="A26" s="6" t="s">
        <v>77</v>
      </c>
      <c r="B26" s="6"/>
      <c r="C26" s="6"/>
      <c r="D26" s="13" t="n">
        <f aca="false">IFERROR(B26+C26,0)</f>
        <v>0</v>
      </c>
      <c r="E26" s="6" t="s">
        <v>78</v>
      </c>
      <c r="F26" s="6"/>
      <c r="G26" s="6"/>
      <c r="H26" s="13" t="n">
        <f aca="false">IFERROR(F26+G26,0)</f>
        <v>0</v>
      </c>
      <c r="I26" s="6" t="s">
        <v>79</v>
      </c>
      <c r="J26" s="6"/>
      <c r="K26" s="6"/>
      <c r="L26" s="16" t="n">
        <f aca="false">IFERROR(K26/J26,0)</f>
        <v>0</v>
      </c>
    </row>
    <row r="27" customFormat="false" ht="15" hidden="false" customHeight="false" outlineLevel="0" collapsed="false">
      <c r="A27" s="6"/>
      <c r="B27" s="6"/>
      <c r="C27" s="6"/>
      <c r="D27" s="13" t="n">
        <f aca="false">IFERROR(B27+C27,0)</f>
        <v>0</v>
      </c>
      <c r="E27" s="6" t="s">
        <v>80</v>
      </c>
      <c r="F27" s="6"/>
      <c r="G27" s="6"/>
      <c r="H27" s="13" t="n">
        <f aca="false">IFERROR(F27+G27,0)</f>
        <v>0</v>
      </c>
      <c r="I27" s="6"/>
      <c r="J27" s="6"/>
      <c r="K27" s="6"/>
      <c r="L27" s="16" t="n">
        <f aca="false">IFERROR(K27/J27,0)</f>
        <v>0</v>
      </c>
    </row>
    <row r="28" customFormat="false" ht="15" hidden="false" customHeight="false" outlineLevel="0" collapsed="false">
      <c r="A28" s="6"/>
      <c r="B28" s="6"/>
      <c r="C28" s="6"/>
      <c r="D28" s="13" t="n">
        <f aca="false">IFERROR(B28+C28,0)</f>
        <v>0</v>
      </c>
      <c r="E28" s="6" t="s">
        <v>81</v>
      </c>
      <c r="F28" s="6"/>
      <c r="G28" s="6"/>
      <c r="H28" s="13" t="n">
        <f aca="false">IFERROR(F28+G28,0)</f>
        <v>0</v>
      </c>
      <c r="I28" s="6"/>
      <c r="J28" s="6"/>
      <c r="K28" s="6"/>
      <c r="L28" s="16" t="n">
        <f aca="false">IFERROR(K28/J28,0)</f>
        <v>0</v>
      </c>
    </row>
    <row r="29" customFormat="false" ht="15" hidden="false" customHeight="false" outlineLevel="0" collapsed="false">
      <c r="A29" s="6"/>
      <c r="B29" s="6"/>
      <c r="C29" s="6"/>
      <c r="D29" s="13" t="n">
        <f aca="false">IFERROR(B29+C29,0)</f>
        <v>0</v>
      </c>
      <c r="E29" s="6"/>
      <c r="F29" s="6"/>
      <c r="G29" s="6"/>
      <c r="H29" s="13" t="n">
        <f aca="false">IFERROR(F29+G29,0)</f>
        <v>0</v>
      </c>
      <c r="I29" s="6"/>
      <c r="J29" s="6"/>
      <c r="K29" s="6"/>
      <c r="L29" s="16" t="n">
        <f aca="false">IFERROR(K29/J29,0)</f>
        <v>0</v>
      </c>
    </row>
    <row r="30" customFormat="false" ht="15" hidden="false" customHeight="false" outlineLevel="0" collapsed="false">
      <c r="A30" s="17" t="s">
        <v>82</v>
      </c>
      <c r="B30" s="18" t="n">
        <f aca="false">SUM(B22:B29)</f>
        <v>0</v>
      </c>
      <c r="C30" s="18" t="n">
        <f aca="false">SUM(C22:C29)</f>
        <v>0</v>
      </c>
      <c r="D30" s="18" t="n">
        <f aca="false">SUM(D22:D29)</f>
        <v>0</v>
      </c>
      <c r="E30" s="17" t="s">
        <v>83</v>
      </c>
      <c r="F30" s="18" t="n">
        <f aca="false">SUM(F22:F29)</f>
        <v>0</v>
      </c>
      <c r="G30" s="18" t="n">
        <f aca="false">SUM(G22:G29)</f>
        <v>0</v>
      </c>
      <c r="H30" s="18" t="n">
        <f aca="false">SUM(H22:H29)</f>
        <v>0</v>
      </c>
      <c r="I30" s="17" t="s">
        <v>84</v>
      </c>
      <c r="J30" s="18" t="n">
        <f aca="false">SUM(J22:J29)</f>
        <v>0</v>
      </c>
      <c r="K30" s="18" t="n">
        <f aca="false">SUM(K22:K29)</f>
        <v>0</v>
      </c>
      <c r="L30" s="19" t="n">
        <f aca="false">IFERROR(K30/J30,0)</f>
        <v>0</v>
      </c>
    </row>
    <row r="31" customFormat="false" ht="15" hidden="false" customHeight="false" outlineLevel="0" collapsed="false">
      <c r="A31" s="17" t="s">
        <v>85</v>
      </c>
      <c r="B31" s="18"/>
      <c r="C31" s="18"/>
      <c r="D31" s="17" t="n">
        <f aca="false">D30+H30</f>
        <v>0</v>
      </c>
      <c r="E31" s="17" t="s">
        <v>86</v>
      </c>
      <c r="F31" s="20" t="n">
        <f aca="false">IFERROR((B30+F30)/(D30+H30),0)</f>
        <v>0</v>
      </c>
      <c r="G31" s="17" t="s">
        <v>87</v>
      </c>
      <c r="H31" s="21" t="n">
        <f aca="false">(B30+F30)*$D$15</f>
        <v>0</v>
      </c>
      <c r="I31" s="18"/>
      <c r="J31" s="18"/>
      <c r="K31" s="18"/>
      <c r="L31" s="18"/>
    </row>
    <row r="33" customFormat="false" ht="15" hidden="false" customHeight="false" outlineLevel="0" collapsed="false">
      <c r="A33" s="4" t="s">
        <v>88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customFormat="false" ht="32.8" hidden="false" customHeight="false" outlineLevel="0" collapsed="false">
      <c r="A34" s="12" t="s">
        <v>89</v>
      </c>
      <c r="B34" s="12" t="s">
        <v>90</v>
      </c>
      <c r="C34" s="12" t="s">
        <v>91</v>
      </c>
      <c r="D34" s="12" t="s">
        <v>92</v>
      </c>
      <c r="E34" s="12" t="s">
        <v>93</v>
      </c>
      <c r="F34" s="12" t="s">
        <v>94</v>
      </c>
      <c r="G34" s="12" t="s">
        <v>95</v>
      </c>
      <c r="H34" s="12" t="s">
        <v>96</v>
      </c>
    </row>
    <row r="35" customFormat="false" ht="15" hidden="false" customHeight="false" outlineLevel="0" collapsed="false">
      <c r="A35" s="6" t="s">
        <v>97</v>
      </c>
      <c r="B35" s="6" t="s">
        <v>98</v>
      </c>
      <c r="C35" s="6" t="s">
        <v>99</v>
      </c>
      <c r="D35" s="6" t="s">
        <v>100</v>
      </c>
      <c r="E35" s="6" t="n">
        <v>2.4</v>
      </c>
      <c r="F35" s="6" t="n">
        <v>12.8</v>
      </c>
      <c r="G35" s="6" t="s">
        <v>101</v>
      </c>
      <c r="H35" s="6" t="s">
        <v>102</v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</row>
    <row r="44" customFormat="false" ht="15" hidden="false" customHeight="false" outlineLevel="0" collapsed="false">
      <c r="A44" s="4" t="s">
        <v>103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customFormat="false" ht="43.25" hidden="false" customHeight="false" outlineLevel="0" collapsed="false">
      <c r="A45" s="12" t="s">
        <v>104</v>
      </c>
      <c r="B45" s="12" t="s">
        <v>105</v>
      </c>
      <c r="C45" s="12" t="s">
        <v>106</v>
      </c>
      <c r="D45" s="12" t="s">
        <v>107</v>
      </c>
      <c r="E45" s="12" t="s">
        <v>108</v>
      </c>
      <c r="F45" s="12" t="s">
        <v>109</v>
      </c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</row>
    <row r="52" customFormat="false" ht="15" hidden="false" customHeight="false" outlineLevel="0" collapsed="false">
      <c r="A52" s="22" t="s">
        <v>110</v>
      </c>
    </row>
    <row r="54" customFormat="false" ht="15" hidden="false" customHeight="false" outlineLevel="0" collapsed="false">
      <c r="A54" s="4" t="s">
        <v>111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6" customFormat="false" ht="15" hidden="false" customHeight="false" outlineLevel="0" collapsed="false">
      <c r="A56" s="23"/>
      <c r="B56" s="23"/>
      <c r="C56" s="23"/>
      <c r="E56" s="23"/>
      <c r="F56" s="23"/>
      <c r="G56" s="23"/>
      <c r="I56" s="23"/>
      <c r="J56" s="23"/>
      <c r="K56" s="23"/>
      <c r="M56" s="23"/>
      <c r="N56" s="23"/>
      <c r="O56" s="23"/>
    </row>
    <row r="57" customFormat="false" ht="15" hidden="false" customHeight="false" outlineLevel="0" collapsed="false">
      <c r="A57" s="5" t="s">
        <v>112</v>
      </c>
      <c r="E57" s="5" t="s">
        <v>113</v>
      </c>
      <c r="I57" s="5" t="s">
        <v>114</v>
      </c>
      <c r="M57" s="5" t="s">
        <v>115</v>
      </c>
    </row>
  </sheetData>
  <mergeCells count="9">
    <mergeCell ref="A1:P1"/>
    <mergeCell ref="A2:P2"/>
    <mergeCell ref="A4:P4"/>
    <mergeCell ref="A9:P9"/>
    <mergeCell ref="A13:P13"/>
    <mergeCell ref="A20:P20"/>
    <mergeCell ref="A33:P33"/>
    <mergeCell ref="A44:P44"/>
    <mergeCell ref="A54:P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2026-09-18T12:11:43Z</dcterms:created>
  <dc:creator>openpyxl</dc:creator>
  <dc:description/>
  <dc:language>en-US</dc:language>
  <cp:lastModifiedBy/>
  <dcterms:modified xsi:type="dcterms:W3CDTF">2026-09-18T12:11:43Z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